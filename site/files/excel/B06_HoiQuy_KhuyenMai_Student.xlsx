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HuongDan" sheetId="1" state="visible" r:id="rId3"/>
    <sheet name="Bai1_HoiQuy" sheetId="2" state="visible" r:id="rId4"/>
    <sheet name="Bai2_BaselineUplift" sheetId="3" state="visible" r:id="rId5"/>
    <sheet name="Bai3_KM_T11" sheetId="4" state="visible" r:id="rId6"/>
    <sheet name="Bai4_LaiGop" sheetId="5" state="visible" r:id="rId7"/>
    <sheet name="Bai5_PhieuKM" sheetId="6" state="visible" r:id="rId8"/>
    <sheet name="MoRong_NP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=INDEX(LINEST(...),1,6)</t>
        </r>
      </text>
    </comment>
    <comment ref="J6" authorId="0">
      <text>
        <r>
          <rPr>
            <sz val="10"/>
            <rFont val="Arial"/>
            <family val="2"/>
          </rPr>
          <t xml:space="preserve">=INDEX(LINEST(...),1,5)</t>
        </r>
      </text>
    </comment>
    <comment ref="J7" authorId="0">
      <text>
        <r>
          <rPr>
            <sz val="10"/>
            <rFont val="Arial"/>
            <family val="2"/>
          </rPr>
          <t xml:space="preserve">=INDEX(LINEST(...),1,4)</t>
        </r>
      </text>
    </comment>
    <comment ref="J8" authorId="0">
      <text>
        <r>
          <rPr>
            <sz val="10"/>
            <rFont val="Arial"/>
            <family val="2"/>
          </rPr>
          <t xml:space="preserve">=INDEX(LINEST(...),1,3)</t>
        </r>
      </text>
    </comment>
    <comment ref="J9" authorId="0">
      <text>
        <r>
          <rPr>
            <sz val="10"/>
            <rFont val="Arial"/>
            <family val="2"/>
          </rPr>
          <t xml:space="preserve">=INDEX(LINEST(...),1,2)</t>
        </r>
      </text>
    </comment>
    <comment ref="J10" authorId="0">
      <text>
        <r>
          <rPr>
            <sz val="10"/>
            <rFont val="Arial"/>
            <family val="2"/>
          </rPr>
          <t xml:space="preserve">=INDEX(LINEST(...),1,1)</t>
        </r>
      </text>
    </comment>
    <comment ref="J13" authorId="0">
      <text>
        <r>
          <rPr>
            <sz val="10"/>
            <rFont val="Arial"/>
            <family val="2"/>
          </rPr>
          <t xml:space="preserve">=1 − (1−R²)(n−1)/(n−k−1)</t>
        </r>
      </text>
    </comment>
    <comment ref="K5" authorId="0">
      <text>
        <r>
          <rPr>
            <sz val="10"/>
            <rFont val="Arial"/>
            <family val="2"/>
          </rPr>
          <t xml:space="preserve">=INDEX(LINEST(...),2,6)</t>
        </r>
      </text>
    </comment>
    <comment ref="K6" authorId="0">
      <text>
        <r>
          <rPr>
            <sz val="10"/>
            <rFont val="Arial"/>
            <family val="2"/>
          </rPr>
          <t xml:space="preserve">=INDEX(LINEST(...),2,5)</t>
        </r>
      </text>
    </comment>
    <comment ref="K7" authorId="0">
      <text>
        <r>
          <rPr>
            <sz val="10"/>
            <rFont val="Arial"/>
            <family val="2"/>
          </rPr>
          <t xml:space="preserve">=INDEX(LINEST(...),2,4)</t>
        </r>
      </text>
    </comment>
    <comment ref="K8" authorId="0">
      <text>
        <r>
          <rPr>
            <sz val="10"/>
            <rFont val="Arial"/>
            <family val="2"/>
          </rPr>
          <t xml:space="preserve">=INDEX(LINEST(...),2,3)</t>
        </r>
      </text>
    </comment>
    <comment ref="K9" authorId="0">
      <text>
        <r>
          <rPr>
            <sz val="10"/>
            <rFont val="Arial"/>
            <family val="2"/>
          </rPr>
          <t xml:space="preserve">=INDEX(LINEST(...),2,2)</t>
        </r>
      </text>
    </comment>
    <comment ref="K10" authorId="0">
      <text>
        <r>
          <rPr>
            <sz val="10"/>
            <rFont val="Arial"/>
            <family val="2"/>
          </rPr>
          <t xml:space="preserve">=INDEX(LINEST(...),2,1)</t>
        </r>
      </text>
    </comment>
    <comment ref="M5" authorId="0">
      <text>
        <r>
          <rPr>
            <sz val="10"/>
            <rFont val="Arial"/>
            <family val="2"/>
          </rPr>
          <t xml:space="preserve">=TDIST(|t|, bậc tự do, 2)</t>
        </r>
      </text>
    </comment>
    <comment ref="M6" authorId="0">
      <text>
        <r>
          <rPr>
            <sz val="10"/>
            <rFont val="Arial"/>
            <family val="2"/>
          </rPr>
          <t xml:space="preserve">=TDIST(|t|, bậc tự do, 2)</t>
        </r>
      </text>
    </comment>
    <comment ref="M7" authorId="0">
      <text>
        <r>
          <rPr>
            <sz val="10"/>
            <rFont val="Arial"/>
            <family val="2"/>
          </rPr>
          <t xml:space="preserve">=TDIST(|t|, bậc tự do, 2)</t>
        </r>
      </text>
    </comment>
    <comment ref="M8" authorId="0">
      <text>
        <r>
          <rPr>
            <sz val="10"/>
            <rFont val="Arial"/>
            <family val="2"/>
          </rPr>
          <t xml:space="preserve">=TDIST(|t|, bậc tự do, 2)</t>
        </r>
      </text>
    </comment>
    <comment ref="M9" authorId="0">
      <text>
        <r>
          <rPr>
            <sz val="10"/>
            <rFont val="Arial"/>
            <family val="2"/>
          </rPr>
          <t xml:space="preserve">=TDIST(|t|, bậc tự do, 2)</t>
        </r>
      </text>
    </comment>
    <comment ref="M10" authorId="0">
      <text>
        <r>
          <rPr>
            <sz val="10"/>
            <rFont val="Arial"/>
            <family val="2"/>
          </rPr>
          <t xml:space="preserve">=TDIST(|t|, bậc tự do, 2)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6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7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8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9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10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11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12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13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14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15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16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17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18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19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20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21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22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23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24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25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26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27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28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29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30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31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32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33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34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35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36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37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38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39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  <comment ref="C40" authorId="0">
      <text>
        <r>
          <rPr>
            <sz val="10"/>
            <rFont val="Arial"/>
            <family val="2"/>
          </rPr>
          <t xml:space="preserve">b0 + b1·t + b2·khai giảng + b3·trước Tết + b4·giảm giá + b5·sau KM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Tháng 1: số cửa hàng × thùng/cửa hàng</t>
        </r>
      </text>
    </comment>
    <comment ref="D6" authorId="0">
      <text>
        <r>
          <rPr>
            <sz val="10"/>
            <rFont val="Arial"/>
            <family val="2"/>
          </rPr>
          <t xml:space="preserve">Tháng 1: số cửa hàng × thùng/cửa hàng</t>
        </r>
      </text>
    </comment>
    <comment ref="D7" authorId="0">
      <text>
        <r>
          <rPr>
            <sz val="10"/>
            <rFont val="Arial"/>
            <family val="2"/>
          </rPr>
          <t xml:space="preserve">Tháng 1: số cửa hàng × thùng/cửa hàng</t>
        </r>
      </text>
    </comment>
    <comment ref="D8" authorId="0">
      <text>
        <r>
          <rPr>
            <sz val="10"/>
            <rFont val="Arial"/>
            <family val="2"/>
          </rPr>
          <t xml:space="preserve">Tháng 1: số cửa hàng × thùng/cửa hàng</t>
        </r>
      </text>
    </comment>
    <comment ref="D9" authorId="0">
      <text>
        <r>
          <rPr>
            <sz val="10"/>
            <rFont val="Arial"/>
            <family val="2"/>
          </rPr>
          <t xml:space="preserve">Tháng 1: số cửa hàng × thùng/cửa hàng</t>
        </r>
      </text>
    </comment>
    <comment ref="D10" authorId="0">
      <text>
        <r>
          <rPr>
            <sz val="10"/>
            <rFont val="Arial"/>
            <family val="2"/>
          </rPr>
          <t xml:space="preserve">Tháng 1: số cửa hàng × thùng/cửa hàng</t>
        </r>
      </text>
    </comment>
    <comment ref="D11" authorId="0">
      <text>
        <r>
          <rPr>
            <sz val="10"/>
            <rFont val="Arial"/>
            <family val="2"/>
          </rPr>
          <t xml:space="preserve">Tháng 1: số cửa hàng × thùng/cửa hàng</t>
        </r>
      </text>
    </comment>
    <comment ref="D12" authorId="0">
      <text>
        <r>
          <rPr>
            <sz val="10"/>
            <rFont val="Arial"/>
            <family val="2"/>
          </rPr>
          <t xml:space="preserve">Tháng 1: số cửa hàng × thùng/cửa hàng</t>
        </r>
      </text>
    </comment>
    <comment ref="D13" authorId="0">
      <text>
        <r>
          <rPr>
            <sz val="10"/>
            <rFont val="Arial"/>
            <family val="2"/>
          </rPr>
          <t xml:space="preserve">Tháng 1: số cửa hàng × thùng/cửa hàng</t>
        </r>
      </text>
    </comment>
    <comment ref="D14" authorId="0">
      <text>
        <r>
          <rPr>
            <sz val="10"/>
            <rFont val="Arial"/>
            <family val="2"/>
          </rPr>
          <t xml:space="preserve">Tháng 1: số cửa hàng × thùng/cửa hàng</t>
        </r>
      </text>
    </comment>
    <comment ref="D15" authorId="0">
      <text>
        <r>
          <rPr>
            <sz val="10"/>
            <rFont val="Arial"/>
            <family val="2"/>
          </rPr>
          <t xml:space="preserve">Tháng 1: số cửa hàng × thùng/cửa hàng</t>
        </r>
      </text>
    </comment>
    <comment ref="D16" authorId="0">
      <text>
        <r>
          <rPr>
            <sz val="10"/>
            <rFont val="Arial"/>
            <family val="2"/>
          </rPr>
          <t xml:space="preserve">Tháng 1: số cửa hàng × thùng/cửa hàng</t>
        </r>
      </text>
    </comment>
    <comment ref="D17" authorId="0">
      <text>
        <r>
          <rPr>
            <sz val="10"/>
            <rFont val="Arial"/>
            <family val="2"/>
          </rPr>
          <t xml:space="preserve">Tháng 1: số cửa hàng × thùng/cửa hàng</t>
        </r>
      </text>
    </comment>
    <comment ref="D18" authorId="0">
      <text>
        <r>
          <rPr>
            <sz val="10"/>
            <rFont val="Arial"/>
            <family val="2"/>
          </rPr>
          <t xml:space="preserve">Tháng 1: số cửa hàng × thùng/cửa hàng</t>
        </r>
      </text>
    </comment>
    <comment ref="D19" authorId="0">
      <text>
        <r>
          <rPr>
            <sz val="10"/>
            <rFont val="Arial"/>
            <family val="2"/>
          </rPr>
          <t xml:space="preserve">Tháng 1: số cửa hàng × thùng/cửa hàng</t>
        </r>
      </text>
    </comment>
  </commentList>
</comments>
</file>

<file path=xl/sharedStrings.xml><?xml version="1.0" encoding="utf-8"?>
<sst xmlns="http://schemas.openxmlformats.org/spreadsheetml/2006/main" count="268" uniqueCount="197">
  <si>
    <t xml:space="preserve">BUỔI 6 · HỒI QUY, GIÁ VÀ KHUYẾN MÃI</t>
  </si>
  <si>
    <t xml:space="preserve">ERX · Demand Planning &amp; Forecasting in Practice · BẢN HỌC VIÊN · Thư Nguyễn · thu.minh090997@gmail.com</t>
  </si>
  <si>
    <t xml:space="preserve">Mục tiêu</t>
  </si>
  <si>
    <t xml:space="preserve">•</t>
  </si>
  <si>
    <t xml:space="preserve">Ước lượng hồi quy nhiều biến bằng LINEST (hoặc Data Analysis → Regression).</t>
  </si>
  <si>
    <t xml:space="preserve">Đọc hệ số, R², p-value ở mức 'biến này có đáng giữ không'.</t>
  </si>
  <si>
    <t xml:space="preserve">Tách baseline và uplift; kiểm chứng đề xuất 'giảm 25%, tăng 110%' của Marketing bằng số.</t>
  </si>
  <si>
    <t xml:space="preserve">Tính lãi gộp có/không khuyến mãi và uplift hòa vốn; dự báo sản phẩm mới bằng lấp đầy kênh + bán lặp lại.</t>
  </si>
  <si>
    <t xml:space="preserve">Nhiệm vụ</t>
  </si>
  <si>
    <t xml:space="preserve">Sheet</t>
  </si>
  <si>
    <t xml:space="preserve">Việc cần làm</t>
  </si>
  <si>
    <t xml:space="preserve">Thời lượng</t>
  </si>
  <si>
    <t xml:space="preserve">Bai1_HoiQuy</t>
  </si>
  <si>
    <t xml:space="preserve">K01 Snack khoai tây kênh MT: dựng bảng biến, chạy LINEST, điền bảng hệ số.</t>
  </si>
  <si>
    <t xml:space="preserve">20'</t>
  </si>
  <si>
    <t xml:space="preserve">Bai2_BaselineUplift</t>
  </si>
  <si>
    <t xml:space="preserve">Tính giá trị khớp, baseline, uplift cho 36 tháng; xem biểu đồ.</t>
  </si>
  <si>
    <t xml:space="preserve">10'</t>
  </si>
  <si>
    <t xml:space="preserve">Bai3_KM_T11</t>
  </si>
  <si>
    <t xml:space="preserve">Dự báo 11–12/2026 với đợt giảm 25% đã duyệt; so với kỳ vọng Marketing.</t>
  </si>
  <si>
    <t xml:space="preserve">Bai4_LaiGop</t>
  </si>
  <si>
    <t xml:space="preserve">Lãi gộp 2 tháng có/không KM, uplift hòa vốn; viết khuyến nghị 5 dòng.</t>
  </si>
  <si>
    <t xml:space="preserve">Bai5_PhieuKM</t>
  </si>
  <si>
    <t xml:space="preserve">Mẫu phiếu thông tin khuyến mãi Demand Planner cần Marketing điền trước mỗi đợt.</t>
  </si>
  <si>
    <t xml:space="preserve">5'</t>
  </si>
  <si>
    <t xml:space="preserve">MoRong_NPD</t>
  </si>
  <si>
    <t xml:space="preserve">N05 Mì trộn: tách lấp đầy kênh (pipeline fill) và bán lặp lại; so với kế hoạch ra mắt.</t>
  </si>
  <si>
    <t xml:space="preserve">10'+</t>
  </si>
  <si>
    <t xml:space="preserve">Dữ liệu</t>
  </si>
  <si>
    <t xml:space="preserve">demand_clean K01 MT; promo_calendar (mức giảm giá); calendar (Tết). Giá/giá vốn từ sku_master (nghìn đồng/thùng).</t>
  </si>
  <si>
    <t xml:space="preserve">Quy ước màu</t>
  </si>
  <si>
    <t xml:space="preserve">Ví dụ 123</t>
  </si>
  <si>
    <t xml:space="preserve">Ô nhiệm vụ: học viên điền công thức (rê chuột xem gợi ý trong comment)</t>
  </si>
  <si>
    <t xml:space="preserve">Chữ xanh dương trên nền vàng: tham số/giả định có thể thay đổi</t>
  </si>
  <si>
    <t xml:space="preserve">Nền xanh nhạt: công thức đáp án (chỉ có ở bản đáp án)</t>
  </si>
  <si>
    <t xml:space="preserve">Chữ xanh lá: liên kết từ sheet khác</t>
  </si>
  <si>
    <t xml:space="preserve">Ghi chú</t>
  </si>
  <si>
    <t xml:space="preserve">Biến giải thích phải BIẾT TRƯỚC tại thời điểm dự báo: lịch KM đã duyệt, lịch Tết, mùa vụ. Không dùng số truy cập web của chính tháng cần dự báo!</t>
  </si>
  <si>
    <t xml:space="preserve">LINEST trả hệ số theo thứ tự NGƯỢC với cột X. Bảng hệ số đã ghi sẵn vị trí INDEX cho từng biến.</t>
  </si>
  <si>
    <t xml:space="preserve">p-value &lt; 0,05: giữ biến. Nhưng biến có ý nghĩa kinh doanh rõ (tháng sau KM) có thể giữ dù p hơi cao — ghi rõ lý do.</t>
  </si>
  <si>
    <t xml:space="preserve">Quy ước toàn khóa: e = Actual − Forecast (e &gt; 0: dự báo thấp). Tiền: nghìn đồng nếu không ghi khác. Dữ liệu Mekong Bloom Foods là công ty GIẢ ĐỊNH phục vụ giảng dạy.</t>
  </si>
  <si>
    <t xml:space="preserve">Bài 1 · Hồi quy nhu cầu K01 kênh MT</t>
  </si>
  <si>
    <t xml:space="preserve">y = b0 + b1·t + b2·khai_giang + b3·tet_pre + b4·promo_depth + b5·post_promo + e</t>
  </si>
  <si>
    <t xml:space="preserve">Tháng</t>
  </si>
  <si>
    <t xml:space="preserve">t</t>
  </si>
  <si>
    <t xml:space="preserve">Khai giảng</t>
  </si>
  <si>
    <t xml:space="preserve">Trước Tết</t>
  </si>
  <si>
    <t xml:space="preserve">Mức giảm</t>
  </si>
  <si>
    <t xml:space="preserve">Sau KM</t>
  </si>
  <si>
    <t xml:space="preserve">y (thùng)</t>
  </si>
  <si>
    <t xml:space="preserve">Biến</t>
  </si>
  <si>
    <t xml:space="preserve">Hệ số</t>
  </si>
  <si>
    <t xml:space="preserve">Sai số chuẩn</t>
  </si>
  <si>
    <t xml:space="preserve">p-value</t>
  </si>
  <si>
    <t xml:space="preserve">Giữ biến?</t>
  </si>
  <si>
    <t xml:space="preserve">2023-10</t>
  </si>
  <si>
    <t xml:space="preserve">Hệ số chặn (b0)</t>
  </si>
  <si>
    <t xml:space="preserve">2023-11</t>
  </si>
  <si>
    <t xml:space="preserve">Xu hướng (t)</t>
  </si>
  <si>
    <t xml:space="preserve">2023-12</t>
  </si>
  <si>
    <t xml:space="preserve">Mùa khai giảng (T8–T9)</t>
  </si>
  <si>
    <t xml:space="preserve">2024-01</t>
  </si>
  <si>
    <t xml:space="preserve">Tỷ trọng trước Tết</t>
  </si>
  <si>
    <t xml:space="preserve">2024-02</t>
  </si>
  <si>
    <t xml:space="preserve">Mức giảm giá KM</t>
  </si>
  <si>
    <t xml:space="preserve">2024-03</t>
  </si>
  <si>
    <t xml:space="preserve">Tháng sau KM</t>
  </si>
  <si>
    <t xml:space="preserve">2024-04</t>
  </si>
  <si>
    <t xml:space="preserve">2024-05</t>
  </si>
  <si>
    <t xml:space="preserve">R²</t>
  </si>
  <si>
    <t xml:space="preserve">2024-06</t>
  </si>
  <si>
    <t xml:space="preserve">R² hiệu chỉnh</t>
  </si>
  <si>
    <t xml:space="preserve">2024-07</t>
  </si>
  <si>
    <t xml:space="preserve">n (số quan sát)</t>
  </si>
  <si>
    <t xml:space="preserve">2024-08</t>
  </si>
  <si>
    <t xml:space="preserve">Bậc tự do (n − k − 1)</t>
  </si>
  <si>
    <t xml:space="preserve">2024-09</t>
  </si>
  <si>
    <t xml:space="preserve">2024-10</t>
  </si>
  <si>
    <t xml:space="preserve">Diễn giải: mỗi 10% giảm giá tăng bao nhiêu thùng?</t>
  </si>
  <si>
    <t xml:space="preserve">2024-11</t>
  </si>
  <si>
    <t xml:space="preserve">Câu hỏi: hệ số 'tháng sau KM' âm nghĩa là gì? Vì sao p của nó cao hơn? Có nên bỏ?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</si>
  <si>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</si>
  <si>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</si>
  <si>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</si>
  <si>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</si>
  <si>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</si>
  <si>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</si>
  <si>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</si>
  <si>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</si>
  <si>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</si>
  <si>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</si>
  <si>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</si>
  <si>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</si>
  <si>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</si>
  <si>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</si>
  <si>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</si>
  <si>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</si>
  <si>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</si>
  <si>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</si>
  <si>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</si>
  <si>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</si>
  <si>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</si>
  <si>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</si>
  <si>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Ba dòng nền xám = tháng tương lai (lịch KM 10–12/2026 đã duyệt).</t>
  </si>
  <si>
    <t xml:space="preserve">2026-11</t>
  </si>
  <si>
    <t xml:space="preserve">2026-12</t>
  </si>
  <si>
    <t xml:space="preserve">Bài 2 · Baseline và uplift</t>
  </si>
  <si>
    <t xml:space="preserve">Khớp = b0 + Σ b·x. Baseline = Khớp − b(giảm giá)·giảm giá − b(sau KM)·sau KM.</t>
  </si>
  <si>
    <t xml:space="preserve">y</t>
  </si>
  <si>
    <t xml:space="preserve">Khớp</t>
  </si>
  <si>
    <t xml:space="preserve">Baseline</t>
  </si>
  <si>
    <t xml:space="preserve">Uplift</t>
  </si>
  <si>
    <t xml:space="preserve">Bài 3 · Đợt 'Trưng bày + giảm 25%' tháng 11/2026 (đã duyệt)</t>
  </si>
  <si>
    <t xml:space="preserve">Marketing kỳ vọng tăng 110%. Mô hình nói gì?</t>
  </si>
  <si>
    <t xml:space="preserve">Chỉ tiêu</t>
  </si>
  <si>
    <t xml:space="preserve">10/2026</t>
  </si>
  <si>
    <t xml:space="preserve">11/2026</t>
  </si>
  <si>
    <t xml:space="preserve">12/2026</t>
  </si>
  <si>
    <t xml:space="preserve">Mức giảm giá</t>
  </si>
  <si>
    <t xml:space="preserve">Dự báo (khớp)</t>
  </si>
  <si>
    <t xml:space="preserve">Uplift (thùng)</t>
  </si>
  <si>
    <t xml:space="preserve">Uplift %</t>
  </si>
  <si>
    <t xml:space="preserve">Kỳ vọng Marketing %</t>
  </si>
  <si>
    <t xml:space="preserve">Dự báo theo Marketing</t>
  </si>
  <si>
    <t xml:space="preserve">Chênh lệch dự báo T11 (Marketing − mô hình)</t>
  </si>
  <si>
    <t xml:space="preserve">Câu hỏi đóng vai: Marketing nói 'giảm 25% chắc chắn tăng 110%'. Bạn hỏi 3 câu gì để kiểm chứng? (đợt tương tự trước? trưng bày ở bao nhiêu cửa hàng? đối thủ?)</t>
  </si>
  <si>
    <t xml:space="preserve">Bài 4 · Khuyến mãi tăng sản lượng — có tăng lãi gộp không?</t>
  </si>
  <si>
    <t xml:space="preserve">Tính cho 2 tháng (tháng KM + tháng sau). Đơn vị: nghìn đồng.</t>
  </si>
  <si>
    <t xml:space="preserve">Tham số</t>
  </si>
  <si>
    <t xml:space="preserve">Giá trị</t>
  </si>
  <si>
    <t xml:space="preserve">Giá bán NPP (nghìn đồng/thùng)</t>
  </si>
  <si>
    <t xml:space="preserve">sku_master</t>
  </si>
  <si>
    <t xml:space="preserve">Giá vốn (nghìn đồng/thùng)</t>
  </si>
  <si>
    <t xml:space="preserve">Phiếu KM</t>
  </si>
  <si>
    <t xml:space="preserve">Phí trưng bày trả chuỗi (nghìn đồng)</t>
  </si>
  <si>
    <t xml:space="preserve">Giả định trong phiếu KM</t>
  </si>
  <si>
    <t xml:space="preserve">Baseline T11 (thùng)</t>
  </si>
  <si>
    <t xml:space="preserve">Dự báo T11 có KM (thùng)</t>
  </si>
  <si>
    <t xml:space="preserve">Baseline T12 (thùng)</t>
  </si>
  <si>
    <t xml:space="preserve">Sụt tháng sau KM (thùng, từ hệ số)</t>
  </si>
  <si>
    <t xml:space="preserve">Kết quả</t>
  </si>
  <si>
    <t xml:space="preserve">Lãi gộp 2 tháng — KHÔNG KM</t>
  </si>
  <si>
    <t xml:space="preserve">Lãi gộp 2 tháng — CÓ KM (sau phí trưng bày)</t>
  </si>
  <si>
    <t xml:space="preserve">Chênh lệch (CÓ − KHÔNG)</t>
  </si>
  <si>
    <t xml:space="preserve">Uplift hòa vốn (%)</t>
  </si>
  <si>
    <t xml:space="preserve">Uplift mô hình (%)</t>
  </si>
  <si>
    <t xml:space="preserve">Khuyến nghị 5 dòng (viết vào ô dưới)</t>
  </si>
  <si>
    <t xml:space="preserve">Bài 5 · Phiếu thông tin khuyến mãi (Marketing → Demand Planning)</t>
  </si>
  <si>
    <t xml:space="preserve">Mẫu dùng thật: không có phiếu đủ thông tin = không đưa uplift vào forecast.</t>
  </si>
  <si>
    <t xml:space="preserve">Trường thông tin</t>
  </si>
  <si>
    <t xml:space="preserve">Ví dụ (K01 · T11/2026)</t>
  </si>
  <si>
    <t xml:space="preserve">Vì sao Demand Planner cần</t>
  </si>
  <si>
    <t xml:space="preserve">Mã KM / SKU / kênh / khách hàng</t>
  </si>
  <si>
    <t xml:space="preserve">P165 · K01 · MT · Chuỗi A, B</t>
  </si>
  <si>
    <t xml:space="preserve">Dự báo ở đúng cấp SKU × kênh</t>
  </si>
  <si>
    <t xml:space="preserve">Thời gian (từ ngày – đến ngày)</t>
  </si>
  <si>
    <t xml:space="preserve">01/11–30/11/2026</t>
  </si>
  <si>
    <t xml:space="preserve">Phân bổ uplift vào đúng tháng/tuần</t>
  </si>
  <si>
    <t xml:space="preserve">Cơ chế &amp; mức giảm</t>
  </si>
  <si>
    <t xml:space="preserve">Trưng bày + giảm 25%</t>
  </si>
  <si>
    <t xml:space="preserve">Biến giải thích trong mô hình</t>
  </si>
  <si>
    <t xml:space="preserve">Số cửa hàng tham gia / trưng bày</t>
  </si>
  <si>
    <t xml:space="preserve">~420 cửa hàng, ụ trưng bày cuối kệ</t>
  </si>
  <si>
    <t xml:space="preserve">Quy mô uplift</t>
  </si>
  <si>
    <t xml:space="preserve">Đợt tương tự trước &amp; kết quả</t>
  </si>
  <si>
    <t xml:space="preserve">P1xx 11/2025: giảm 20%, uplift thực tế ~50%</t>
  </si>
  <si>
    <t xml:space="preserve">Kiểm chứng kỳ vọng</t>
  </si>
  <si>
    <t xml:space="preserve">Uplift kỳ vọng &amp; căn cứ</t>
  </si>
  <si>
    <t xml:space="preserve">+110% (theo brand team)</t>
  </si>
  <si>
    <t xml:space="preserve">So với mô hình</t>
  </si>
  <si>
    <t xml:space="preserve">Ngân sách / đồng tài trợ</t>
  </si>
  <si>
    <t xml:space="preserve">Phí trưng bày 60 triệu; NCC chưa tài trợ</t>
  </si>
  <si>
    <t xml:space="preserve">Tính lãi gộp</t>
  </si>
  <si>
    <t xml:space="preserve">Sản phẩm có thể bị ăn lạm</t>
  </si>
  <si>
    <t xml:space="preserve">Snack khác của MBF? đối thủ?</t>
  </si>
  <si>
    <t xml:space="preserve">Điều chỉnh SKU liên quan</t>
  </si>
  <si>
    <t xml:space="preserve">Rủi ro tồn sau KM / hạn dùng</t>
  </si>
  <si>
    <t xml:space="preserve">Hạn 240 ngày</t>
  </si>
  <si>
    <t xml:space="preserve">Kế hoạch tồn kho</t>
  </si>
  <si>
    <t xml:space="preserve">Người phê duyệt &amp; ngày chốt</t>
  </si>
  <si>
    <t xml:space="preserve">Trưởng Marketing · chốt trước 15/10</t>
  </si>
  <si>
    <t xml:space="preserve">Vùng đóng băng của kế hoạch</t>
  </si>
  <si>
    <t xml:space="preserve">Mở rộng · Sản phẩm mới N05 Mì trộn xốt cay</t>
  </si>
  <si>
    <t xml:space="preserve">Kế hoạch ra mắt (Marketing): lấp đầy kênh = số cửa hàng × thùng/cửa hàng; bán lặp lại tăng dần đến mức ổn định.</t>
  </si>
  <si>
    <t xml:space="preserve">Tháng thứ</t>
  </si>
  <si>
    <t xml:space="preserve">Thực tế MT</t>
  </si>
  <si>
    <t xml:space="preserve">Kế hoạch lấp đầy</t>
  </si>
  <si>
    <t xml:space="preserve">Kế hoạch lặp lại</t>
  </si>
  <si>
    <t xml:space="preserve">Kế hoạch tổng</t>
  </si>
  <si>
    <t xml:space="preserve">Kế hoạch ra mắt kênh MT</t>
  </si>
  <si>
    <t xml:space="preserve">Số cửa hàng MT</t>
  </si>
  <si>
    <t xml:space="preserve">Thùng lấp đầy/cửa hàng</t>
  </si>
  <si>
    <t xml:space="preserve">Mức bán lặp lại ổn định (thùng/tháng)</t>
  </si>
  <si>
    <t xml:space="preserve">Tốc độ đạt ổn định: tháng 1 = % mức ổn định</t>
  </si>
  <si>
    <t xml:space="preserve">Tăng thêm mỗi tháng (điểm %)</t>
  </si>
  <si>
    <t xml:space="preserve">Câu hỏi: Tháng 2 thực tế cao hơn kế hoạch — vì sao? (lấp đầy kéo dài 2 tháng, cửa hàng đặt bổ sung)</t>
  </si>
  <si>
    <t xml:space="preserve">Sau 4 tuần đầu: nhìn tốc độ bán lại (sell-out) chứ không nhìn sell-in tháng ra mắt.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</si>
</sst>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%"/>
    <numFmt numFmtId="167" formatCode="#,##0"/>
    <numFmt numFmtId="168" formatCode="#,##0.0"/>
    <numFmt numFmtId="169" formatCode="0.00"/>
    <numFmt numFmtId="170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421"/>
      <name val="Arial"/>
      <family val="0"/>
      <charset val="1"/>
    </font>
    <font>
      <i val="true"/>
      <sz val="9"/>
      <color rgb="FF76777B"/>
      <name val="Arial"/>
      <family val="0"/>
      <charset val="1"/>
    </font>
    <font>
      <b val="true"/>
      <sz val="11"/>
      <color rgb="FF01AE4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1AE42"/>
        <bgColor rgb="FF008A3A"/>
      </patternFill>
    </fill>
    <fill>
      <patternFill patternType="solid">
        <fgColor rgb="FFFFF2CC"/>
        <bgColor rgb="FFEAF7EF"/>
      </patternFill>
    </fill>
    <fill>
      <patternFill patternType="solid">
        <fgColor rgb="FFEAF7EF"/>
        <bgColor rgb="FFE6E8E6"/>
      </patternFill>
    </fill>
    <fill>
      <patternFill patternType="solid">
        <fgColor rgb="FFE6E8E6"/>
        <bgColor rgb="FFEAF7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0"/>
      </left>
      <right style="thin">
        <color rgb="FFD0D4D0"/>
      </right>
      <top style="thin">
        <color rgb="FFD0D4D0"/>
      </top>
      <bottom style="thin">
        <color rgb="FFD0D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A3A"/>
      <rgbColor rgb="FFD9D9D9"/>
      <rgbColor rgb="FF878787"/>
      <rgbColor rgb="FF9999FF"/>
      <rgbColor rgb="FF993366"/>
      <rgbColor rgb="FFFFF2CC"/>
      <rgbColor rgb="FFEAF7EF"/>
      <rgbColor rgb="FF660066"/>
      <rgbColor rgb="FFFF8080"/>
      <rgbColor rgb="FF0066CC"/>
      <rgbColor rgb="FFD0D4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8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20B"/>
      <rgbColor rgb="FF76777B"/>
      <rgbColor rgb="FF969696"/>
      <rgbColor rgb="FF003366"/>
      <rgbColor rgb="FF01AE42"/>
      <rgbColor rgb="FF003300"/>
      <rgbColor rgb="FF333300"/>
      <rgbColor rgb="FF993300"/>
      <rgbColor rgb="FF993366"/>
      <rgbColor rgb="FF333399"/>
      <rgbColor rgb="FF1F2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K01 MT: thực tế, khớp, baseline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Bai2_BaselineUplift!B4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1f2421"/>
            </a:solidFill>
            <a:ln w="28440">
              <a:solidFill>
                <a:srgbClr val="1f24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Bai2_BaselineUplift!$A$5:$A$40</c:f>
              <c:strCache>
                <c:ptCount val="36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2024-03</c:v>
                </c:pt>
                <c:pt idx="6">
                  <c:v>2024-04</c:v>
                </c:pt>
                <c:pt idx="7">
                  <c:v>2024-05</c:v>
                </c:pt>
                <c:pt idx="8">
                  <c:v>2024-06</c:v>
                </c:pt>
                <c:pt idx="9">
                  <c:v>2024-07</c:v>
                </c:pt>
                <c:pt idx="10">
                  <c:v>2024-08</c:v>
                </c:pt>
                <c:pt idx="11">
                  <c:v>2024-09</c:v>
                </c:pt>
                <c:pt idx="12">
                  <c:v>2024-10</c:v>
                </c:pt>
                <c:pt idx="13">
                  <c:v>2024-11</c:v>
                </c:pt>
                <c:pt idx="14">
                  <c:v>2024-12</c:v>
                </c:pt>
                <c:pt idx="15">
                  <c:v>2025-01</c:v>
                </c:pt>
                <c:pt idx="16">
                  <c:v>2025-02</c:v>
                </c:pt>
                <c:pt idx="17">
                  <c:v>2025-03</c:v>
                </c:pt>
                <c:pt idx="18">
                  <c:v>2025-04</c:v>
                </c:pt>
                <c:pt idx="19">
                  <c:v>2025-05</c:v>
                </c:pt>
                <c:pt idx="20">
                  <c:v>2025-06</c:v>
                </c:pt>
                <c:pt idx="21">
                  <c:v>2025-07</c:v>
                </c:pt>
                <c:pt idx="22">
                  <c:v>2025-08</c:v>
                </c:pt>
                <c:pt idx="23">
                  <c:v>2025-09</c:v>
                </c:pt>
                <c:pt idx="24">
                  <c:v>2025-10</c:v>
                </c:pt>
                <c:pt idx="25">
                  <c:v>2025-11</c:v>
                </c:pt>
                <c:pt idx="26">
                  <c:v>2025-12</c:v>
                </c:pt>
                <c:pt idx="27">
                  <c:v>2026-01</c:v>
                </c:pt>
                <c:pt idx="28">
                  <c:v>2026-02</c:v>
                </c:pt>
                <c:pt idx="29">
                  <c:v>2026-03</c:v>
                </c:pt>
                <c:pt idx="30">
                  <c:v>2026-04</c:v>
                </c:pt>
                <c:pt idx="31">
                  <c:v>2026-05</c:v>
                </c:pt>
                <c:pt idx="32">
                  <c:v>2026-06</c:v>
                </c:pt>
                <c:pt idx="33">
                  <c:v>2026-07</c:v>
                </c:pt>
                <c:pt idx="34">
                  <c:v>2026-08</c:v>
                </c:pt>
                <c:pt idx="35">
                  <c:v>2026-09</c:v>
                </c:pt>
              </c:strCache>
            </c:strRef>
          </c:cat>
          <c:val>
            <c:numRef>
              <c:f>Bai2_BaselineUplift!$B$5:$B$40</c:f>
              <c:numCache>
                <c:formatCode>#,##0</c:formatCode>
                <c:ptCount val="36"/>
                <c:pt idx="0">
                  <c:v>5927</c:v>
                </c:pt>
                <c:pt idx="1">
                  <c:v>3020</c:v>
                </c:pt>
                <c:pt idx="2">
                  <c:v>4719</c:v>
                </c:pt>
                <c:pt idx="3">
                  <c:v>3517</c:v>
                </c:pt>
                <c:pt idx="4">
                  <c:v>6222</c:v>
                </c:pt>
                <c:pt idx="5">
                  <c:v>2530</c:v>
                </c:pt>
                <c:pt idx="6">
                  <c:v>3265</c:v>
                </c:pt>
                <c:pt idx="7">
                  <c:v>3532</c:v>
                </c:pt>
                <c:pt idx="8">
                  <c:v>3586</c:v>
                </c:pt>
                <c:pt idx="9">
                  <c:v>3542</c:v>
                </c:pt>
                <c:pt idx="10">
                  <c:v>4410</c:v>
                </c:pt>
                <c:pt idx="11">
                  <c:v>7911</c:v>
                </c:pt>
                <c:pt idx="12">
                  <c:v>2408</c:v>
                </c:pt>
                <c:pt idx="13">
                  <c:v>4036</c:v>
                </c:pt>
                <c:pt idx="14">
                  <c:v>7727</c:v>
                </c:pt>
                <c:pt idx="15">
                  <c:v>4482</c:v>
                </c:pt>
                <c:pt idx="16">
                  <c:v>3079</c:v>
                </c:pt>
                <c:pt idx="17">
                  <c:v>5047</c:v>
                </c:pt>
                <c:pt idx="18">
                  <c:v>4138</c:v>
                </c:pt>
                <c:pt idx="19">
                  <c:v>3611</c:v>
                </c:pt>
                <c:pt idx="20">
                  <c:v>3949</c:v>
                </c:pt>
                <c:pt idx="21">
                  <c:v>3997</c:v>
                </c:pt>
                <c:pt idx="22">
                  <c:v>5984</c:v>
                </c:pt>
                <c:pt idx="23">
                  <c:v>7310</c:v>
                </c:pt>
                <c:pt idx="24">
                  <c:v>3751</c:v>
                </c:pt>
                <c:pt idx="25">
                  <c:v>5389</c:v>
                </c:pt>
                <c:pt idx="26">
                  <c:v>3926</c:v>
                </c:pt>
                <c:pt idx="27">
                  <c:v>5132</c:v>
                </c:pt>
                <c:pt idx="28">
                  <c:v>4992</c:v>
                </c:pt>
                <c:pt idx="29">
                  <c:v>5869</c:v>
                </c:pt>
                <c:pt idx="30">
                  <c:v>3768</c:v>
                </c:pt>
                <c:pt idx="31">
                  <c:v>4230</c:v>
                </c:pt>
                <c:pt idx="32">
                  <c:v>4594</c:v>
                </c:pt>
                <c:pt idx="33">
                  <c:v>4523</c:v>
                </c:pt>
                <c:pt idx="34">
                  <c:v>5854</c:v>
                </c:pt>
                <c:pt idx="35">
                  <c:v>5897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Bai2_BaselineUplift!C4</c:f>
              <c:strCache>
                <c:ptCount val="1"/>
                <c:pt idx="0">
                  <c:v>Khớp</c:v>
                </c:pt>
              </c:strCache>
            </c:strRef>
          </c:tx>
          <c:spPr>
            <a:solidFill>
              <a:srgbClr val="008a3a"/>
            </a:solidFill>
            <a:ln w="28440">
              <a:solidFill>
                <a:srgbClr val="008a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Bai2_BaselineUplift!$A$5:$A$40</c:f>
              <c:strCache>
                <c:ptCount val="36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2024-03</c:v>
                </c:pt>
                <c:pt idx="6">
                  <c:v>2024-04</c:v>
                </c:pt>
                <c:pt idx="7">
                  <c:v>2024-05</c:v>
                </c:pt>
                <c:pt idx="8">
                  <c:v>2024-06</c:v>
                </c:pt>
                <c:pt idx="9">
                  <c:v>2024-07</c:v>
                </c:pt>
                <c:pt idx="10">
                  <c:v>2024-08</c:v>
                </c:pt>
                <c:pt idx="11">
                  <c:v>2024-09</c:v>
                </c:pt>
                <c:pt idx="12">
                  <c:v>2024-10</c:v>
                </c:pt>
                <c:pt idx="13">
                  <c:v>2024-11</c:v>
                </c:pt>
                <c:pt idx="14">
                  <c:v>2024-12</c:v>
                </c:pt>
                <c:pt idx="15">
                  <c:v>2025-01</c:v>
                </c:pt>
                <c:pt idx="16">
                  <c:v>2025-02</c:v>
                </c:pt>
                <c:pt idx="17">
                  <c:v>2025-03</c:v>
                </c:pt>
                <c:pt idx="18">
                  <c:v>2025-04</c:v>
                </c:pt>
                <c:pt idx="19">
                  <c:v>2025-05</c:v>
                </c:pt>
                <c:pt idx="20">
                  <c:v>2025-06</c:v>
                </c:pt>
                <c:pt idx="21">
                  <c:v>2025-07</c:v>
                </c:pt>
                <c:pt idx="22">
                  <c:v>2025-08</c:v>
                </c:pt>
                <c:pt idx="23">
                  <c:v>2025-09</c:v>
                </c:pt>
                <c:pt idx="24">
                  <c:v>2025-10</c:v>
                </c:pt>
                <c:pt idx="25">
                  <c:v>2025-11</c:v>
                </c:pt>
                <c:pt idx="26">
                  <c:v>2025-12</c:v>
                </c:pt>
                <c:pt idx="27">
                  <c:v>2026-01</c:v>
                </c:pt>
                <c:pt idx="28">
                  <c:v>2026-02</c:v>
                </c:pt>
                <c:pt idx="29">
                  <c:v>2026-03</c:v>
                </c:pt>
                <c:pt idx="30">
                  <c:v>2026-04</c:v>
                </c:pt>
                <c:pt idx="31">
                  <c:v>2026-05</c:v>
                </c:pt>
                <c:pt idx="32">
                  <c:v>2026-06</c:v>
                </c:pt>
                <c:pt idx="33">
                  <c:v>2026-07</c:v>
                </c:pt>
                <c:pt idx="34">
                  <c:v>2026-08</c:v>
                </c:pt>
                <c:pt idx="35">
                  <c:v>2026-09</c:v>
                </c:pt>
              </c:strCache>
            </c:strRef>
          </c:cat>
          <c:val>
            <c:numRef>
              <c:f>Bai2_BaselineUplift!$C$5:$C$40</c:f>
              <c:numCache>
                <c:formatCode>General</c:formatCode>
                <c:ptCount val="36"/>
              </c:numCache>
            </c:numRef>
          </c:val>
          <c:smooth val="1"/>
        </c:ser>
        <c:ser>
          <c:idx val="2"/>
          <c:order val="2"/>
          <c:tx>
            <c:strRef>
              <c:f>Bai2_BaselineUplift!D4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rgbClr val="d9720b"/>
            </a:solidFill>
            <a:ln w="28440">
              <a:solidFill>
                <a:srgbClr val="d972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Bai2_BaselineUplift!$A$5:$A$40</c:f>
              <c:strCache>
                <c:ptCount val="36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2024-03</c:v>
                </c:pt>
                <c:pt idx="6">
                  <c:v>2024-04</c:v>
                </c:pt>
                <c:pt idx="7">
                  <c:v>2024-05</c:v>
                </c:pt>
                <c:pt idx="8">
                  <c:v>2024-06</c:v>
                </c:pt>
                <c:pt idx="9">
                  <c:v>2024-07</c:v>
                </c:pt>
                <c:pt idx="10">
                  <c:v>2024-08</c:v>
                </c:pt>
                <c:pt idx="11">
                  <c:v>2024-09</c:v>
                </c:pt>
                <c:pt idx="12">
                  <c:v>2024-10</c:v>
                </c:pt>
                <c:pt idx="13">
                  <c:v>2024-11</c:v>
                </c:pt>
                <c:pt idx="14">
                  <c:v>2024-12</c:v>
                </c:pt>
                <c:pt idx="15">
                  <c:v>2025-01</c:v>
                </c:pt>
                <c:pt idx="16">
                  <c:v>2025-02</c:v>
                </c:pt>
                <c:pt idx="17">
                  <c:v>2025-03</c:v>
                </c:pt>
                <c:pt idx="18">
                  <c:v>2025-04</c:v>
                </c:pt>
                <c:pt idx="19">
                  <c:v>2025-05</c:v>
                </c:pt>
                <c:pt idx="20">
                  <c:v>2025-06</c:v>
                </c:pt>
                <c:pt idx="21">
                  <c:v>2025-07</c:v>
                </c:pt>
                <c:pt idx="22">
                  <c:v>2025-08</c:v>
                </c:pt>
                <c:pt idx="23">
                  <c:v>2025-09</c:v>
                </c:pt>
                <c:pt idx="24">
                  <c:v>2025-10</c:v>
                </c:pt>
                <c:pt idx="25">
                  <c:v>2025-11</c:v>
                </c:pt>
                <c:pt idx="26">
                  <c:v>2025-12</c:v>
                </c:pt>
                <c:pt idx="27">
                  <c:v>2026-01</c:v>
                </c:pt>
                <c:pt idx="28">
                  <c:v>2026-02</c:v>
                </c:pt>
                <c:pt idx="29">
                  <c:v>2026-03</c:v>
                </c:pt>
                <c:pt idx="30">
                  <c:v>2026-04</c:v>
                </c:pt>
                <c:pt idx="31">
                  <c:v>2026-05</c:v>
                </c:pt>
                <c:pt idx="32">
                  <c:v>2026-06</c:v>
                </c:pt>
                <c:pt idx="33">
                  <c:v>2026-07</c:v>
                </c:pt>
                <c:pt idx="34">
                  <c:v>2026-08</c:v>
                </c:pt>
                <c:pt idx="35">
                  <c:v>2026-09</c:v>
                </c:pt>
              </c:strCache>
            </c:strRef>
          </c:cat>
          <c:val>
            <c:numRef>
              <c:f>Bai2_BaselineUplift!$D$5:$D$40</c:f>
              <c:numCache>
                <c:formatCode>General</c:formatCode>
                <c:ptCount val="36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269582"/>
        <c:axId val="33652102"/>
      </c:lineChart>
      <c:catAx>
        <c:axId val="212695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52102"/>
        <c:crosses val="autoZero"/>
        <c:auto val="1"/>
        <c:lblAlgn val="ctr"/>
        <c:lblOffset val="100"/>
        <c:noMultiLvlLbl val="0"/>
      </c:catAx>
      <c:valAx>
        <c:axId val="336521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695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1076040</xdr:colOff>
      <xdr:row>0</xdr:row>
      <xdr:rowOff>361440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81880" y="0"/>
          <a:ext cx="1076040" cy="361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16</xdr:col>
      <xdr:colOff>364320</xdr:colOff>
      <xdr:row>17</xdr:row>
      <xdr:rowOff>22320</xdr:rowOff>
    </xdr:to>
    <xdr:graphicFrame>
      <xdr:nvGraphicFramePr>
        <xdr:cNvPr id="1" name="Chart 1"/>
        <xdr:cNvGraphicFramePr/>
      </xdr:nvGraphicFramePr>
      <xdr:xfrm>
        <a:off x="4065120" y="762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6"/>
  </cols>
  <sheetData>
    <row r="1" customFormat="false" ht="33.75" hidden="false" customHeight="true" outlineLevel="0" collapsed="false"/>
    <row r="3" customFormat="false" ht="19.7" hidden="false" customHeight="false" outlineLevel="0" collapsed="false">
      <c r="B3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23.85" hidden="false" customHeight="false" outlineLevel="0" collapsed="false">
      <c r="B7" s="4" t="s">
        <v>3</v>
      </c>
      <c r="C7" s="5" t="s">
        <v>4</v>
      </c>
    </row>
    <row r="8" customFormat="false" ht="15" hidden="false" customHeight="false" outlineLevel="0" collapsed="false">
      <c r="B8" s="4" t="s">
        <v>3</v>
      </c>
      <c r="C8" s="5" t="s">
        <v>5</v>
      </c>
    </row>
    <row r="9" customFormat="false" ht="23.85" hidden="false" customHeight="false" outlineLevel="0" collapsed="false">
      <c r="B9" s="4" t="s">
        <v>3</v>
      </c>
      <c r="C9" s="5" t="s">
        <v>6</v>
      </c>
    </row>
    <row r="10" customFormat="false" ht="23.85" hidden="false" customHeight="false" outlineLevel="0" collapsed="false">
      <c r="B10" s="4" t="s">
        <v>3</v>
      </c>
      <c r="C10" s="5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6" t="s">
        <v>9</v>
      </c>
      <c r="C13" s="6" t="s">
        <v>10</v>
      </c>
      <c r="D13" s="6" t="s">
        <v>11</v>
      </c>
    </row>
    <row r="14" customFormat="false" ht="30" hidden="false" customHeight="true" outlineLevel="0" collapsed="false">
      <c r="B14" s="7" t="s">
        <v>12</v>
      </c>
      <c r="C14" s="8" t="s">
        <v>13</v>
      </c>
      <c r="D14" s="9" t="s">
        <v>14</v>
      </c>
    </row>
    <row r="15" customFormat="false" ht="15" hidden="false" customHeight="true" outlineLevel="0" collapsed="false">
      <c r="B15" s="7" t="s">
        <v>15</v>
      </c>
      <c r="C15" s="8" t="s">
        <v>16</v>
      </c>
      <c r="D15" s="9" t="s">
        <v>17</v>
      </c>
    </row>
    <row r="16" customFormat="false" ht="30" hidden="false" customHeight="true" outlineLevel="0" collapsed="false">
      <c r="B16" s="7" t="s">
        <v>18</v>
      </c>
      <c r="C16" s="8" t="s">
        <v>19</v>
      </c>
      <c r="D16" s="9" t="s">
        <v>17</v>
      </c>
    </row>
    <row r="17" customFormat="false" ht="15" hidden="false" customHeight="true" outlineLevel="0" collapsed="false">
      <c r="B17" s="7" t="s">
        <v>20</v>
      </c>
      <c r="C17" s="8" t="s">
        <v>21</v>
      </c>
      <c r="D17" s="9" t="s">
        <v>17</v>
      </c>
    </row>
    <row r="18" customFormat="false" ht="30" hidden="false" customHeight="true" outlineLevel="0" collapsed="false">
      <c r="B18" s="7" t="s">
        <v>22</v>
      </c>
      <c r="C18" s="8" t="s">
        <v>23</v>
      </c>
      <c r="D18" s="9" t="s">
        <v>24</v>
      </c>
    </row>
    <row r="19" customFormat="false" ht="30" hidden="false" customHeight="true" outlineLevel="0" collapsed="false">
      <c r="B19" s="7" t="s">
        <v>25</v>
      </c>
      <c r="C19" s="8" t="s">
        <v>26</v>
      </c>
      <c r="D19" s="9" t="s">
        <v>27</v>
      </c>
    </row>
    <row r="21" customFormat="false" ht="15" hidden="false" customHeight="false" outlineLevel="0" collapsed="false">
      <c r="B21" s="3" t="s">
        <v>28</v>
      </c>
    </row>
    <row r="22" customFormat="false" ht="30" hidden="false" customHeight="true" outlineLevel="0" collapsed="false">
      <c r="C22" s="5" t="s">
        <v>29</v>
      </c>
    </row>
    <row r="24" customFormat="false" ht="15" hidden="false" customHeight="false" outlineLevel="0" collapsed="false">
      <c r="B24" s="3" t="s">
        <v>30</v>
      </c>
    </row>
    <row r="25" customFormat="false" ht="15" hidden="false" customHeight="false" outlineLevel="0" collapsed="false">
      <c r="B25" s="10" t="s">
        <v>31</v>
      </c>
      <c r="C25" s="4" t="s">
        <v>32</v>
      </c>
    </row>
    <row r="26" customFormat="false" ht="15" hidden="false" customHeight="false" outlineLevel="0" collapsed="false">
      <c r="B26" s="11" t="s">
        <v>31</v>
      </c>
      <c r="C26" s="4" t="s">
        <v>33</v>
      </c>
    </row>
    <row r="27" customFormat="false" ht="15" hidden="false" customHeight="false" outlineLevel="0" collapsed="false">
      <c r="B27" s="12" t="s">
        <v>31</v>
      </c>
      <c r="C27" s="4" t="s">
        <v>34</v>
      </c>
    </row>
    <row r="28" customFormat="false" ht="15" hidden="false" customHeight="false" outlineLevel="0" collapsed="false">
      <c r="B28" s="13" t="s">
        <v>31</v>
      </c>
      <c r="C28" s="4" t="s">
        <v>35</v>
      </c>
    </row>
    <row r="30" customFormat="false" ht="15" hidden="false" customHeight="false" outlineLevel="0" collapsed="false">
      <c r="B30" s="3" t="s">
        <v>36</v>
      </c>
    </row>
    <row r="31" customFormat="false" ht="45" hidden="false" customHeight="true" outlineLevel="0" collapsed="false">
      <c r="B31" s="4" t="s">
        <v>3</v>
      </c>
      <c r="C31" s="5" t="s">
        <v>37</v>
      </c>
    </row>
    <row r="32" customFormat="false" ht="30" hidden="false" customHeight="true" outlineLevel="0" collapsed="false">
      <c r="B32" s="4" t="s">
        <v>3</v>
      </c>
      <c r="C32" s="5" t="s">
        <v>38</v>
      </c>
    </row>
    <row r="33" customFormat="false" ht="30" hidden="false" customHeight="true" outlineLevel="0" collapsed="false">
      <c r="B33" s="4" t="s">
        <v>3</v>
      </c>
      <c r="C33" s="5" t="s">
        <v>39</v>
      </c>
    </row>
    <row r="35" customFormat="false" ht="15" hidden="false" customHeight="false" outlineLevel="0" collapsed="false">
      <c r="B35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7" min="3" style="0" width="10"/>
    <col collapsed="false" customWidth="true" hidden="false" outlineLevel="0" max="8" min="8" style="0" width="3"/>
    <col collapsed="false" customWidth="true" hidden="false" outlineLevel="0" max="9" min="9" style="0" width="24"/>
    <col collapsed="false" customWidth="true" hidden="false" outlineLevel="0" max="11" min="10" style="0" width="11"/>
    <col collapsed="false" customWidth="true" hidden="false" outlineLevel="0" max="13" min="12" style="0" width="9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30" hidden="false" customHeight="true" outlineLevel="0" collapsed="false">
      <c r="A4" s="6" t="s">
        <v>43</v>
      </c>
      <c r="B4" s="6" t="s">
        <v>44</v>
      </c>
      <c r="C4" s="6" t="s">
        <v>45</v>
      </c>
      <c r="D4" s="6" t="s">
        <v>46</v>
      </c>
      <c r="E4" s="6" t="s">
        <v>47</v>
      </c>
      <c r="F4" s="6" t="s">
        <v>48</v>
      </c>
      <c r="G4" s="6" t="s">
        <v>49</v>
      </c>
      <c r="I4" s="6" t="s">
        <v>50</v>
      </c>
      <c r="J4" s="6" t="s">
        <v>51</v>
      </c>
      <c r="K4" s="6" t="s">
        <v>52</v>
      </c>
      <c r="L4" s="6" t="s">
        <v>44</v>
      </c>
      <c r="M4" s="6" t="s">
        <v>53</v>
      </c>
      <c r="N4" s="6" t="s">
        <v>54</v>
      </c>
    </row>
    <row r="5" customFormat="false" ht="15" hidden="false" customHeight="false" outlineLevel="0" collapsed="false">
      <c r="A5" s="14" t="s">
        <v>55</v>
      </c>
      <c r="B5" s="14" t="n">
        <v>1</v>
      </c>
      <c r="C5" s="14" t="n">
        <v>0</v>
      </c>
      <c r="D5" s="15" t="n">
        <v>0</v>
      </c>
      <c r="E5" s="16" t="n">
        <v>0.25</v>
      </c>
      <c r="F5" s="14" t="n">
        <v>0</v>
      </c>
      <c r="G5" s="17" t="n">
        <v>5927</v>
      </c>
      <c r="I5" s="7" t="s">
        <v>56</v>
      </c>
      <c r="J5" s="18"/>
      <c r="K5" s="18"/>
      <c r="L5" s="19"/>
      <c r="M5" s="20"/>
      <c r="N5" s="10"/>
    </row>
    <row r="6" customFormat="false" ht="15" hidden="false" customHeight="false" outlineLevel="0" collapsed="false">
      <c r="A6" s="14" t="s">
        <v>57</v>
      </c>
      <c r="B6" s="14" t="n">
        <v>2</v>
      </c>
      <c r="C6" s="14" t="n">
        <v>0</v>
      </c>
      <c r="D6" s="15" t="n">
        <v>0</v>
      </c>
      <c r="E6" s="16" t="n">
        <v>0</v>
      </c>
      <c r="F6" s="21" t="n">
        <f aca="false">IF(E5&gt;0,1,0)</f>
        <v>1</v>
      </c>
      <c r="G6" s="17" t="n">
        <v>3020</v>
      </c>
      <c r="I6" s="7" t="s">
        <v>58</v>
      </c>
      <c r="J6" s="18"/>
      <c r="K6" s="18"/>
      <c r="L6" s="19"/>
      <c r="M6" s="20"/>
      <c r="N6" s="10"/>
    </row>
    <row r="7" customFormat="false" ht="15" hidden="false" customHeight="false" outlineLevel="0" collapsed="false">
      <c r="A7" s="14" t="s">
        <v>59</v>
      </c>
      <c r="B7" s="14" t="n">
        <v>3</v>
      </c>
      <c r="C7" s="14" t="n">
        <v>0</v>
      </c>
      <c r="D7" s="15" t="n">
        <v>0</v>
      </c>
      <c r="E7" s="16" t="n">
        <v>0</v>
      </c>
      <c r="F7" s="21" t="n">
        <f aca="false">IF(E6&gt;0,1,0)</f>
        <v>0</v>
      </c>
      <c r="G7" s="17" t="n">
        <v>4719</v>
      </c>
      <c r="I7" s="7" t="s">
        <v>60</v>
      </c>
      <c r="J7" s="18"/>
      <c r="K7" s="18"/>
      <c r="L7" s="19"/>
      <c r="M7" s="20"/>
      <c r="N7" s="10"/>
    </row>
    <row r="8" customFormat="false" ht="15" hidden="false" customHeight="false" outlineLevel="0" collapsed="false">
      <c r="A8" s="14" t="s">
        <v>61</v>
      </c>
      <c r="B8" s="14" t="n">
        <v>4</v>
      </c>
      <c r="C8" s="14" t="n">
        <v>0</v>
      </c>
      <c r="D8" s="15" t="n">
        <v>0.7429</v>
      </c>
      <c r="E8" s="16" t="n">
        <v>0</v>
      </c>
      <c r="F8" s="21" t="n">
        <f aca="false">IF(E7&gt;0,1,0)</f>
        <v>0</v>
      </c>
      <c r="G8" s="17" t="n">
        <v>3517</v>
      </c>
      <c r="I8" s="7" t="s">
        <v>62</v>
      </c>
      <c r="J8" s="18"/>
      <c r="K8" s="18"/>
      <c r="L8" s="19"/>
      <c r="M8" s="20"/>
      <c r="N8" s="10"/>
    </row>
    <row r="9" customFormat="false" ht="15" hidden="false" customHeight="false" outlineLevel="0" collapsed="false">
      <c r="A9" s="14" t="s">
        <v>63</v>
      </c>
      <c r="B9" s="14" t="n">
        <v>5</v>
      </c>
      <c r="C9" s="14" t="n">
        <v>0</v>
      </c>
      <c r="D9" s="15" t="n">
        <v>0.2571</v>
      </c>
      <c r="E9" s="16" t="n">
        <v>0.25</v>
      </c>
      <c r="F9" s="21" t="n">
        <f aca="false">IF(E8&gt;0,1,0)</f>
        <v>0</v>
      </c>
      <c r="G9" s="17" t="n">
        <v>6222</v>
      </c>
      <c r="I9" s="7" t="s">
        <v>64</v>
      </c>
      <c r="J9" s="18"/>
      <c r="K9" s="18"/>
      <c r="L9" s="19"/>
      <c r="M9" s="20"/>
      <c r="N9" s="10"/>
    </row>
    <row r="10" customFormat="false" ht="15" hidden="false" customHeight="false" outlineLevel="0" collapsed="false">
      <c r="A10" s="14" t="s">
        <v>65</v>
      </c>
      <c r="B10" s="14" t="n">
        <v>6</v>
      </c>
      <c r="C10" s="14" t="n">
        <v>0</v>
      </c>
      <c r="D10" s="15" t="n">
        <v>0</v>
      </c>
      <c r="E10" s="16" t="n">
        <v>0</v>
      </c>
      <c r="F10" s="21" t="n">
        <f aca="false">IF(E9&gt;0,1,0)</f>
        <v>1</v>
      </c>
      <c r="G10" s="17" t="n">
        <v>2530</v>
      </c>
      <c r="I10" s="7" t="s">
        <v>66</v>
      </c>
      <c r="J10" s="18"/>
      <c r="K10" s="18"/>
      <c r="L10" s="19"/>
      <c r="M10" s="20"/>
      <c r="N10" s="10"/>
    </row>
    <row r="11" customFormat="false" ht="15" hidden="false" customHeight="false" outlineLevel="0" collapsed="false">
      <c r="A11" s="14" t="s">
        <v>67</v>
      </c>
      <c r="B11" s="14" t="n">
        <v>7</v>
      </c>
      <c r="C11" s="14" t="n">
        <v>0</v>
      </c>
      <c r="D11" s="15" t="n">
        <v>0</v>
      </c>
      <c r="E11" s="16" t="n">
        <v>0</v>
      </c>
      <c r="F11" s="21" t="n">
        <f aca="false">IF(E10&gt;0,1,0)</f>
        <v>0</v>
      </c>
      <c r="G11" s="17" t="n">
        <v>3265</v>
      </c>
    </row>
    <row r="12" customFormat="false" ht="15" hidden="false" customHeight="false" outlineLevel="0" collapsed="false">
      <c r="A12" s="14" t="s">
        <v>68</v>
      </c>
      <c r="B12" s="14" t="n">
        <v>8</v>
      </c>
      <c r="C12" s="14" t="n">
        <v>0</v>
      </c>
      <c r="D12" s="15" t="n">
        <v>0</v>
      </c>
      <c r="E12" s="16" t="n">
        <v>0</v>
      </c>
      <c r="F12" s="21" t="n">
        <f aca="false">IF(E11&gt;0,1,0)</f>
        <v>0</v>
      </c>
      <c r="G12" s="17" t="n">
        <v>3532</v>
      </c>
      <c r="I12" s="7" t="s">
        <v>69</v>
      </c>
      <c r="J12" s="20"/>
    </row>
    <row r="13" customFormat="false" ht="15" hidden="false" customHeight="false" outlineLevel="0" collapsed="false">
      <c r="A13" s="14" t="s">
        <v>70</v>
      </c>
      <c r="B13" s="14" t="n">
        <v>9</v>
      </c>
      <c r="C13" s="14" t="n">
        <v>0</v>
      </c>
      <c r="D13" s="15" t="n">
        <v>0</v>
      </c>
      <c r="E13" s="16" t="n">
        <v>0</v>
      </c>
      <c r="F13" s="21" t="n">
        <f aca="false">IF(E12&gt;0,1,0)</f>
        <v>0</v>
      </c>
      <c r="G13" s="17" t="n">
        <v>3586</v>
      </c>
      <c r="I13" s="7" t="s">
        <v>71</v>
      </c>
      <c r="J13" s="20"/>
    </row>
    <row r="14" customFormat="false" ht="15" hidden="false" customHeight="false" outlineLevel="0" collapsed="false">
      <c r="A14" s="14" t="s">
        <v>72</v>
      </c>
      <c r="B14" s="14" t="n">
        <v>10</v>
      </c>
      <c r="C14" s="14" t="n">
        <v>0</v>
      </c>
      <c r="D14" s="15" t="n">
        <v>0</v>
      </c>
      <c r="E14" s="16" t="n">
        <v>0</v>
      </c>
      <c r="F14" s="21" t="n">
        <f aca="false">IF(E13&gt;0,1,0)</f>
        <v>0</v>
      </c>
      <c r="G14" s="17" t="n">
        <v>3542</v>
      </c>
      <c r="I14" s="7" t="s">
        <v>73</v>
      </c>
      <c r="J14" s="21" t="n">
        <f aca="false">COUNT(G5:G40)</f>
        <v>36</v>
      </c>
    </row>
    <row r="15" customFormat="false" ht="15" hidden="false" customHeight="false" outlineLevel="0" collapsed="false">
      <c r="A15" s="14" t="s">
        <v>74</v>
      </c>
      <c r="B15" s="14" t="n">
        <v>11</v>
      </c>
      <c r="C15" s="14" t="n">
        <v>1</v>
      </c>
      <c r="D15" s="15" t="n">
        <v>0</v>
      </c>
      <c r="E15" s="16" t="n">
        <v>0</v>
      </c>
      <c r="F15" s="21" t="n">
        <f aca="false">IF(E14&gt;0,1,0)</f>
        <v>0</v>
      </c>
      <c r="G15" s="17" t="n">
        <v>4410</v>
      </c>
      <c r="I15" s="7" t="s">
        <v>75</v>
      </c>
      <c r="J15" s="21" t="n">
        <f aca="false">INDEX(LINEST($G$5:$G$40,$B$5:$F$40,TRUE(),TRUE()),4,2)</f>
        <v>30</v>
      </c>
    </row>
    <row r="16" customFormat="false" ht="15" hidden="false" customHeight="false" outlineLevel="0" collapsed="false">
      <c r="A16" s="14" t="s">
        <v>76</v>
      </c>
      <c r="B16" s="14" t="n">
        <v>12</v>
      </c>
      <c r="C16" s="14" t="n">
        <v>1</v>
      </c>
      <c r="D16" s="15" t="n">
        <v>0</v>
      </c>
      <c r="E16" s="16" t="n">
        <v>0.25</v>
      </c>
      <c r="F16" s="21" t="n">
        <f aca="false">IF(E15&gt;0,1,0)</f>
        <v>0</v>
      </c>
      <c r="G16" s="17" t="n">
        <v>7911</v>
      </c>
    </row>
    <row r="17" customFormat="false" ht="15" hidden="false" customHeight="false" outlineLevel="0" collapsed="false">
      <c r="A17" s="14" t="s">
        <v>77</v>
      </c>
      <c r="B17" s="14" t="n">
        <v>13</v>
      </c>
      <c r="C17" s="14" t="n">
        <v>0</v>
      </c>
      <c r="D17" s="15" t="n">
        <v>0</v>
      </c>
      <c r="E17" s="16" t="n">
        <v>0</v>
      </c>
      <c r="F17" s="21" t="n">
        <f aca="false">IF(E16&gt;0,1,0)</f>
        <v>1</v>
      </c>
      <c r="G17" s="17" t="n">
        <v>2408</v>
      </c>
      <c r="I17" s="7" t="s">
        <v>78</v>
      </c>
      <c r="J17" s="22"/>
    </row>
    <row r="18" customFormat="false" ht="15" hidden="false" customHeight="false" outlineLevel="0" collapsed="false">
      <c r="A18" s="14" t="s">
        <v>79</v>
      </c>
      <c r="B18" s="14" t="n">
        <v>14</v>
      </c>
      <c r="C18" s="14" t="n">
        <v>0</v>
      </c>
      <c r="D18" s="15" t="n">
        <v>0</v>
      </c>
      <c r="E18" s="16" t="n">
        <v>0</v>
      </c>
      <c r="F18" s="21" t="n">
        <f aca="false">IF(E17&gt;0,1,0)</f>
        <v>0</v>
      </c>
      <c r="G18" s="17" t="n">
        <v>4036</v>
      </c>
      <c r="I18" s="2" t="s">
        <v>80</v>
      </c>
    </row>
    <row r="19" customFormat="false" ht="15" hidden="false" customHeight="false" outlineLevel="0" collapsed="false">
      <c r="A19" s="14" t="s">
        <v>81</v>
      </c>
      <c r="B19" s="14" t="n">
        <v>15</v>
      </c>
      <c r="C19" s="14" t="n">
        <v>0</v>
      </c>
      <c r="D19" s="15" t="n">
        <v>0.2</v>
      </c>
      <c r="E19" s="16" t="n">
        <v>0.25</v>
      </c>
      <c r="F19" s="21" t="n">
        <f aca="false">IF(E18&gt;0,1,0)</f>
        <v>0</v>
      </c>
      <c r="G19" s="17" t="n">
        <v>7727</v>
      </c>
    </row>
    <row r="20" customFormat="false" ht="15" hidden="false" customHeight="false" outlineLevel="0" collapsed="false">
      <c r="A20" s="14" t="s">
        <v>82</v>
      </c>
      <c r="B20" s="14" t="n">
        <v>16</v>
      </c>
      <c r="C20" s="14" t="n">
        <v>0</v>
      </c>
      <c r="D20" s="15" t="n">
        <v>0.8</v>
      </c>
      <c r="E20" s="16" t="n">
        <v>0</v>
      </c>
      <c r="F20" s="21" t="n">
        <f aca="false">IF(E19&gt;0,1,0)</f>
        <v>1</v>
      </c>
      <c r="G20" s="17" t="n">
        <v>4482</v>
      </c>
    </row>
    <row r="21" customFormat="false" ht="15" hidden="false" customHeight="false" outlineLevel="0" collapsed="false">
      <c r="A21" s="14" t="s">
        <v>83</v>
      </c>
      <c r="B21" s="14" t="n">
        <v>17</v>
      </c>
      <c r="C21" s="14" t="n">
        <v>0</v>
      </c>
      <c r="D21" s="15" t="n">
        <v>0</v>
      </c>
      <c r="E21" s="16" t="n">
        <v>0</v>
      </c>
      <c r="F21" s="21" t="n">
        <f aca="false">IF(E20&gt;0,1,0)</f>
        <v>0</v>
      </c>
      <c r="G21" s="17" t="n">
        <v>3079</v>
      </c>
    </row>
    <row r="22" customFormat="false" ht="15" hidden="false" customHeight="false" outlineLevel="0" collapsed="false">
      <c r="A22" s="14" t="s">
        <v>84</v>
      </c>
      <c r="B22" s="14" t="n">
        <v>18</v>
      </c>
      <c r="C22" s="14" t="n">
        <v>0</v>
      </c>
      <c r="D22" s="15" t="n">
        <v>0</v>
      </c>
      <c r="E22" s="16" t="n">
        <v>0.1</v>
      </c>
      <c r="F22" s="21" t="n">
        <f aca="false">IF(E21&gt;0,1,0)</f>
        <v>0</v>
      </c>
      <c r="G22" s="17" t="n">
        <v>5047</v>
      </c>
    </row>
    <row r="23" customFormat="false" ht="15" hidden="false" customHeight="false" outlineLevel="0" collapsed="false">
      <c r="A23" s="14" t="s">
        <v>85</v>
      </c>
      <c r="B23" s="14" t="n">
        <v>19</v>
      </c>
      <c r="C23" s="14" t="n">
        <v>0</v>
      </c>
      <c r="D23" s="15" t="n">
        <v>0</v>
      </c>
      <c r="E23" s="16" t="n">
        <v>0</v>
      </c>
      <c r="F23" s="21" t="n">
        <f aca="false">IF(E22&gt;0,1,0)</f>
        <v>1</v>
      </c>
      <c r="G23" s="17" t="n">
        <v>4138</v>
      </c>
    </row>
    <row r="24" customFormat="false" ht="15" hidden="false" customHeight="false" outlineLevel="0" collapsed="false">
      <c r="A24" s="14" t="s">
        <v>86</v>
      </c>
      <c r="B24" s="14" t="n">
        <v>20</v>
      </c>
      <c r="C24" s="14" t="n">
        <v>0</v>
      </c>
      <c r="D24" s="15" t="n">
        <v>0</v>
      </c>
      <c r="E24" s="16" t="n">
        <v>0</v>
      </c>
      <c r="F24" s="21" t="n">
        <f aca="false">IF(E23&gt;0,1,0)</f>
        <v>0</v>
      </c>
      <c r="G24" s="17" t="n">
        <v>3611</v>
      </c>
    </row>
    <row r="25" customFormat="false" ht="15" hidden="false" customHeight="false" outlineLevel="0" collapsed="false">
      <c r="A25" s="14" t="s">
        <v>87</v>
      </c>
      <c r="B25" s="14" t="n">
        <v>21</v>
      </c>
      <c r="C25" s="14" t="n">
        <v>0</v>
      </c>
      <c r="D25" s="15" t="n">
        <v>0</v>
      </c>
      <c r="E25" s="16" t="n">
        <v>0</v>
      </c>
      <c r="F25" s="21" t="n">
        <f aca="false">IF(E24&gt;0,1,0)</f>
        <v>0</v>
      </c>
      <c r="G25" s="17" t="n">
        <v>3949</v>
      </c>
    </row>
    <row r="26" customFormat="false" ht="15" hidden="false" customHeight="false" outlineLevel="0" collapsed="false">
      <c r="A26" s="14" t="s">
        <v>88</v>
      </c>
      <c r="B26" s="14" t="n">
        <v>22</v>
      </c>
      <c r="C26" s="14" t="n">
        <v>0</v>
      </c>
      <c r="D26" s="15" t="n">
        <v>0</v>
      </c>
      <c r="E26" s="16" t="n">
        <v>0</v>
      </c>
      <c r="F26" s="21" t="n">
        <f aca="false">IF(E25&gt;0,1,0)</f>
        <v>0</v>
      </c>
      <c r="G26" s="17" t="n">
        <v>3997</v>
      </c>
    </row>
    <row r="27" customFormat="false" ht="15" hidden="false" customHeight="false" outlineLevel="0" collapsed="false">
      <c r="A27" s="14" t="s">
        <v>89</v>
      </c>
      <c r="B27" s="14" t="n">
        <v>23</v>
      </c>
      <c r="C27" s="14" t="n">
        <v>1</v>
      </c>
      <c r="D27" s="15" t="n">
        <v>0</v>
      </c>
      <c r="E27" s="16" t="n">
        <v>0</v>
      </c>
      <c r="F27" s="21" t="n">
        <f aca="false">IF(E26&gt;0,1,0)</f>
        <v>0</v>
      </c>
      <c r="G27" s="17" t="n">
        <v>5984</v>
      </c>
    </row>
    <row r="28" customFormat="false" ht="15" hidden="false" customHeight="false" outlineLevel="0" collapsed="false">
      <c r="A28" s="14" t="s">
        <v>90</v>
      </c>
      <c r="B28" s="14" t="n">
        <v>24</v>
      </c>
      <c r="C28" s="14" t="n">
        <v>1</v>
      </c>
      <c r="D28" s="15" t="n">
        <v>0</v>
      </c>
      <c r="E28" s="16" t="n">
        <v>0</v>
      </c>
      <c r="F28" s="21" t="n">
        <f aca="false">IF(E27&gt;0,1,0)</f>
        <v>0</v>
      </c>
      <c r="G28" s="17" t="n">
        <v>7310</v>
      </c>
    </row>
    <row r="29" customFormat="false" ht="15" hidden="false" customHeight="false" outlineLevel="0" collapsed="false">
      <c r="A29" s="14" t="s">
        <v>91</v>
      </c>
      <c r="B29" s="14" t="n">
        <v>25</v>
      </c>
      <c r="C29" s="14" t="n">
        <v>0</v>
      </c>
      <c r="D29" s="15" t="n">
        <v>0</v>
      </c>
      <c r="E29" s="16" t="n">
        <v>0</v>
      </c>
      <c r="F29" s="21" t="n">
        <f aca="false">IF(E28&gt;0,1,0)</f>
        <v>0</v>
      </c>
      <c r="G29" s="17" t="n">
        <v>3751</v>
      </c>
    </row>
    <row r="30" customFormat="false" ht="15" hidden="false" customHeight="false" outlineLevel="0" collapsed="false">
      <c r="A30" s="14" t="s">
        <v>92</v>
      </c>
      <c r="B30" s="14" t="n">
        <v>26</v>
      </c>
      <c r="C30" s="14" t="n">
        <v>0</v>
      </c>
      <c r="D30" s="15" t="n">
        <v>0</v>
      </c>
      <c r="E30" s="16" t="n">
        <v>0</v>
      </c>
      <c r="F30" s="21" t="n">
        <f aca="false">IF(E29&gt;0,1,0)</f>
        <v>0</v>
      </c>
      <c r="G30" s="17" t="n">
        <v>5389</v>
      </c>
    </row>
    <row r="31" customFormat="false" ht="15" hidden="false" customHeight="false" outlineLevel="0" collapsed="false">
      <c r="A31" s="14" t="s">
        <v>93</v>
      </c>
      <c r="B31" s="14" t="n">
        <v>27</v>
      </c>
      <c r="C31" s="14" t="n">
        <v>0</v>
      </c>
      <c r="D31" s="15" t="n">
        <v>0</v>
      </c>
      <c r="E31" s="16" t="n">
        <v>0</v>
      </c>
      <c r="F31" s="21" t="n">
        <f aca="false">IF(E30&gt;0,1,0)</f>
        <v>0</v>
      </c>
      <c r="G31" s="17" t="n">
        <v>3926</v>
      </c>
    </row>
    <row r="32" customFormat="false" ht="15" hidden="false" customHeight="false" outlineLevel="0" collapsed="false">
      <c r="A32" s="14" t="s">
        <v>94</v>
      </c>
      <c r="B32" s="14" t="n">
        <v>28</v>
      </c>
      <c r="C32" s="14" t="n">
        <v>0</v>
      </c>
      <c r="D32" s="15" t="n">
        <v>0.5429</v>
      </c>
      <c r="E32" s="16" t="n">
        <v>0</v>
      </c>
      <c r="F32" s="21" t="n">
        <f aca="false">IF(E31&gt;0,1,0)</f>
        <v>0</v>
      </c>
      <c r="G32" s="17" t="n">
        <v>5132</v>
      </c>
    </row>
    <row r="33" customFormat="false" ht="15" hidden="false" customHeight="false" outlineLevel="0" collapsed="false">
      <c r="A33" s="14" t="s">
        <v>95</v>
      </c>
      <c r="B33" s="14" t="n">
        <v>29</v>
      </c>
      <c r="C33" s="14" t="n">
        <v>0</v>
      </c>
      <c r="D33" s="15" t="n">
        <v>0.4571</v>
      </c>
      <c r="E33" s="16" t="n">
        <v>0</v>
      </c>
      <c r="F33" s="21" t="n">
        <f aca="false">IF(E32&gt;0,1,0)</f>
        <v>0</v>
      </c>
      <c r="G33" s="17" t="n">
        <v>4992</v>
      </c>
    </row>
    <row r="34" customFormat="false" ht="15" hidden="false" customHeight="false" outlineLevel="0" collapsed="false">
      <c r="A34" s="14" t="s">
        <v>96</v>
      </c>
      <c r="B34" s="14" t="n">
        <v>30</v>
      </c>
      <c r="C34" s="14" t="n">
        <v>0</v>
      </c>
      <c r="D34" s="15" t="n">
        <v>0</v>
      </c>
      <c r="E34" s="16" t="n">
        <v>0.2</v>
      </c>
      <c r="F34" s="21" t="n">
        <f aca="false">IF(E33&gt;0,1,0)</f>
        <v>0</v>
      </c>
      <c r="G34" s="17" t="n">
        <v>5869</v>
      </c>
    </row>
    <row r="35" customFormat="false" ht="15" hidden="false" customHeight="false" outlineLevel="0" collapsed="false">
      <c r="A35" s="14" t="s">
        <v>97</v>
      </c>
      <c r="B35" s="14" t="n">
        <v>31</v>
      </c>
      <c r="C35" s="14" t="n">
        <v>0</v>
      </c>
      <c r="D35" s="15" t="n">
        <v>0</v>
      </c>
      <c r="E35" s="16" t="n">
        <v>0</v>
      </c>
      <c r="F35" s="21" t="n">
        <f aca="false">IF(E34&gt;0,1,0)</f>
        <v>1</v>
      </c>
      <c r="G35" s="17" t="n">
        <v>3768</v>
      </c>
    </row>
    <row r="36" customFormat="false" ht="15" hidden="false" customHeight="false" outlineLevel="0" collapsed="false">
      <c r="A36" s="14" t="s">
        <v>98</v>
      </c>
      <c r="B36" s="14" t="n">
        <v>32</v>
      </c>
      <c r="C36" s="14" t="n">
        <v>0</v>
      </c>
      <c r="D36" s="15" t="n">
        <v>0</v>
      </c>
      <c r="E36" s="16" t="n">
        <v>0</v>
      </c>
      <c r="F36" s="21" t="n">
        <f aca="false">IF(E35&gt;0,1,0)</f>
        <v>0</v>
      </c>
      <c r="G36" s="17" t="n">
        <v>4230</v>
      </c>
    </row>
    <row r="37" customFormat="false" ht="15" hidden="false" customHeight="false" outlineLevel="0" collapsed="false">
      <c r="A37" s="14" t="s">
        <v>99</v>
      </c>
      <c r="B37" s="14" t="n">
        <v>33</v>
      </c>
      <c r="C37" s="14" t="n">
        <v>0</v>
      </c>
      <c r="D37" s="15" t="n">
        <v>0</v>
      </c>
      <c r="E37" s="16" t="n">
        <v>0</v>
      </c>
      <c r="F37" s="21" t="n">
        <f aca="false">IF(E36&gt;0,1,0)</f>
        <v>0</v>
      </c>
      <c r="G37" s="17" t="n">
        <v>4594</v>
      </c>
    </row>
    <row r="38" customFormat="false" ht="15" hidden="false" customHeight="false" outlineLevel="0" collapsed="false">
      <c r="A38" s="14" t="s">
        <v>100</v>
      </c>
      <c r="B38" s="14" t="n">
        <v>34</v>
      </c>
      <c r="C38" s="14" t="n">
        <v>0</v>
      </c>
      <c r="D38" s="15" t="n">
        <v>0</v>
      </c>
      <c r="E38" s="16" t="n">
        <v>0</v>
      </c>
      <c r="F38" s="21" t="n">
        <f aca="false">IF(E37&gt;0,1,0)</f>
        <v>0</v>
      </c>
      <c r="G38" s="17" t="n">
        <v>4523</v>
      </c>
    </row>
    <row r="39" customFormat="false" ht="15" hidden="false" customHeight="false" outlineLevel="0" collapsed="false">
      <c r="A39" s="14" t="s">
        <v>101</v>
      </c>
      <c r="B39" s="14" t="n">
        <v>35</v>
      </c>
      <c r="C39" s="14" t="n">
        <v>1</v>
      </c>
      <c r="D39" s="15" t="n">
        <v>0</v>
      </c>
      <c r="E39" s="16" t="n">
        <v>0</v>
      </c>
      <c r="F39" s="21" t="n">
        <f aca="false">IF(E38&gt;0,1,0)</f>
        <v>0</v>
      </c>
      <c r="G39" s="17" t="n">
        <v>5854</v>
      </c>
    </row>
    <row r="40" customFormat="false" ht="15" hidden="false" customHeight="false" outlineLevel="0" collapsed="false">
      <c r="A40" s="14" t="s">
        <v>102</v>
      </c>
      <c r="B40" s="14" t="n">
        <v>36</v>
      </c>
      <c r="C40" s="14" t="n">
        <v>1</v>
      </c>
      <c r="D40" s="15" t="n">
        <v>0</v>
      </c>
      <c r="E40" s="16" t="n">
        <v>0</v>
      </c>
      <c r="F40" s="21" t="n">
        <f aca="false">IF(E39&gt;0,1,0)</f>
        <v>0</v>
      </c>
      <c r="G40" s="17" t="n">
        <v>5897</v>
      </c>
    </row>
    <row r="41" customFormat="false" ht="15" hidden="false" customHeight="false" outlineLevel="0" collapsed="false">
      <c r="A41" s="23" t="s">
        <v>103</v>
      </c>
      <c r="B41" s="24" t="n">
        <v>37</v>
      </c>
      <c r="C41" s="24" t="n">
        <v>0</v>
      </c>
      <c r="D41" s="25" t="n">
        <v>0</v>
      </c>
      <c r="E41" s="26" t="n">
        <v>0</v>
      </c>
      <c r="F41" s="21" t="n">
        <f aca="false">IF(E40&gt;0,1,0)</f>
        <v>0</v>
      </c>
    </row>
    <row r="42" customFormat="false" ht="15" hidden="false" customHeight="false" outlineLevel="0" collapsed="false">
      <c r="A42" s="24" t="s">
        <v>104</v>
      </c>
      <c r="B42" s="24" t="n">
        <v>38</v>
      </c>
      <c r="C42" s="24" t="n">
        <v>0</v>
      </c>
      <c r="D42" s="25" t="n">
        <v>0</v>
      </c>
      <c r="E42" s="26" t="n">
        <v>0.25</v>
      </c>
      <c r="F42" s="21" t="n">
        <f aca="false">IF(E41&gt;0,1,0)</f>
        <v>0</v>
      </c>
    </row>
    <row r="43" customFormat="false" ht="15" hidden="false" customHeight="false" outlineLevel="0" collapsed="false">
      <c r="A43" s="24" t="s">
        <v>105</v>
      </c>
      <c r="B43" s="24" t="n">
        <v>39</v>
      </c>
      <c r="C43" s="24" t="n">
        <v>0</v>
      </c>
      <c r="D43" s="25" t="n">
        <v>0</v>
      </c>
      <c r="E43" s="26" t="n">
        <v>0</v>
      </c>
      <c r="F43" s="21" t="n">
        <f aca="false">IF(E42&gt;0,1,0)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5" min="2" style="0" width="10"/>
  </cols>
  <sheetData>
    <row r="1" customFormat="false" ht="30" hidden="false" customHeight="tru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30" hidden="false" customHeight="true" outlineLevel="0" collapsed="false">
      <c r="A4" s="6" t="s">
        <v>43</v>
      </c>
      <c r="B4" s="6" t="s">
        <v>108</v>
      </c>
      <c r="C4" s="6" t="s">
        <v>109</v>
      </c>
      <c r="D4" s="6" t="s">
        <v>110</v>
      </c>
      <c r="E4" s="6" t="s">
        <v>111</v>
      </c>
    </row>
    <row r="5" customFormat="false" ht="15" hidden="false" customHeight="false" outlineLevel="0" collapsed="false">
      <c r="A5" s="14" t="s">
        <v>55</v>
      </c>
      <c r="B5" s="27" t="n">
        <f aca="false">Bai1_HoiQuy!G5</f>
        <v>5927</v>
      </c>
      <c r="C5" s="22"/>
      <c r="D5" s="22"/>
      <c r="E5" s="22"/>
    </row>
    <row r="6" customFormat="false" ht="15" hidden="false" customHeight="false" outlineLevel="0" collapsed="false">
      <c r="A6" s="14" t="s">
        <v>57</v>
      </c>
      <c r="B6" s="27" t="n">
        <f aca="false">Bai1_HoiQuy!G6</f>
        <v>3020</v>
      </c>
      <c r="C6" s="22"/>
      <c r="D6" s="22"/>
      <c r="E6" s="22"/>
    </row>
    <row r="7" customFormat="false" ht="15" hidden="false" customHeight="false" outlineLevel="0" collapsed="false">
      <c r="A7" s="14" t="s">
        <v>59</v>
      </c>
      <c r="B7" s="27" t="n">
        <f aca="false">Bai1_HoiQuy!G7</f>
        <v>4719</v>
      </c>
      <c r="C7" s="22"/>
      <c r="D7" s="22"/>
      <c r="E7" s="22"/>
    </row>
    <row r="8" customFormat="false" ht="15" hidden="false" customHeight="false" outlineLevel="0" collapsed="false">
      <c r="A8" s="14" t="s">
        <v>61</v>
      </c>
      <c r="B8" s="27" t="n">
        <f aca="false">Bai1_HoiQuy!G8</f>
        <v>3517</v>
      </c>
      <c r="C8" s="22"/>
      <c r="D8" s="22"/>
      <c r="E8" s="22"/>
    </row>
    <row r="9" customFormat="false" ht="15" hidden="false" customHeight="false" outlineLevel="0" collapsed="false">
      <c r="A9" s="14" t="s">
        <v>63</v>
      </c>
      <c r="B9" s="27" t="n">
        <f aca="false">Bai1_HoiQuy!G9</f>
        <v>6222</v>
      </c>
      <c r="C9" s="22"/>
      <c r="D9" s="22"/>
      <c r="E9" s="22"/>
    </row>
    <row r="10" customFormat="false" ht="15" hidden="false" customHeight="false" outlineLevel="0" collapsed="false">
      <c r="A10" s="14" t="s">
        <v>65</v>
      </c>
      <c r="B10" s="27" t="n">
        <f aca="false">Bai1_HoiQuy!G10</f>
        <v>2530</v>
      </c>
      <c r="C10" s="22"/>
      <c r="D10" s="22"/>
      <c r="E10" s="22"/>
    </row>
    <row r="11" customFormat="false" ht="15" hidden="false" customHeight="false" outlineLevel="0" collapsed="false">
      <c r="A11" s="14" t="s">
        <v>67</v>
      </c>
      <c r="B11" s="27" t="n">
        <f aca="false">Bai1_HoiQuy!G11</f>
        <v>3265</v>
      </c>
      <c r="C11" s="22"/>
      <c r="D11" s="22"/>
      <c r="E11" s="22"/>
    </row>
    <row r="12" customFormat="false" ht="15" hidden="false" customHeight="false" outlineLevel="0" collapsed="false">
      <c r="A12" s="14" t="s">
        <v>68</v>
      </c>
      <c r="B12" s="27" t="n">
        <f aca="false">Bai1_HoiQuy!G12</f>
        <v>3532</v>
      </c>
      <c r="C12" s="22"/>
      <c r="D12" s="22"/>
      <c r="E12" s="22"/>
    </row>
    <row r="13" customFormat="false" ht="15" hidden="false" customHeight="false" outlineLevel="0" collapsed="false">
      <c r="A13" s="14" t="s">
        <v>70</v>
      </c>
      <c r="B13" s="27" t="n">
        <f aca="false">Bai1_HoiQuy!G13</f>
        <v>3586</v>
      </c>
      <c r="C13" s="22"/>
      <c r="D13" s="22"/>
      <c r="E13" s="22"/>
    </row>
    <row r="14" customFormat="false" ht="15" hidden="false" customHeight="false" outlineLevel="0" collapsed="false">
      <c r="A14" s="14" t="s">
        <v>72</v>
      </c>
      <c r="B14" s="27" t="n">
        <f aca="false">Bai1_HoiQuy!G14</f>
        <v>3542</v>
      </c>
      <c r="C14" s="22"/>
      <c r="D14" s="22"/>
      <c r="E14" s="22"/>
    </row>
    <row r="15" customFormat="false" ht="15" hidden="false" customHeight="false" outlineLevel="0" collapsed="false">
      <c r="A15" s="14" t="s">
        <v>74</v>
      </c>
      <c r="B15" s="27" t="n">
        <f aca="false">Bai1_HoiQuy!G15</f>
        <v>4410</v>
      </c>
      <c r="C15" s="22"/>
      <c r="D15" s="22"/>
      <c r="E15" s="22"/>
    </row>
    <row r="16" customFormat="false" ht="15" hidden="false" customHeight="false" outlineLevel="0" collapsed="false">
      <c r="A16" s="14" t="s">
        <v>76</v>
      </c>
      <c r="B16" s="27" t="n">
        <f aca="false">Bai1_HoiQuy!G16</f>
        <v>7911</v>
      </c>
      <c r="C16" s="22"/>
      <c r="D16" s="22"/>
      <c r="E16" s="22"/>
    </row>
    <row r="17" customFormat="false" ht="15" hidden="false" customHeight="false" outlineLevel="0" collapsed="false">
      <c r="A17" s="14" t="s">
        <v>77</v>
      </c>
      <c r="B17" s="27" t="n">
        <f aca="false">Bai1_HoiQuy!G17</f>
        <v>2408</v>
      </c>
      <c r="C17" s="22"/>
      <c r="D17" s="22"/>
      <c r="E17" s="22"/>
    </row>
    <row r="18" customFormat="false" ht="15" hidden="false" customHeight="false" outlineLevel="0" collapsed="false">
      <c r="A18" s="14" t="s">
        <v>79</v>
      </c>
      <c r="B18" s="27" t="n">
        <f aca="false">Bai1_HoiQuy!G18</f>
        <v>4036</v>
      </c>
      <c r="C18" s="22"/>
      <c r="D18" s="22"/>
      <c r="E18" s="22"/>
    </row>
    <row r="19" customFormat="false" ht="15" hidden="false" customHeight="false" outlineLevel="0" collapsed="false">
      <c r="A19" s="14" t="s">
        <v>81</v>
      </c>
      <c r="B19" s="27" t="n">
        <f aca="false">Bai1_HoiQuy!G19</f>
        <v>7727</v>
      </c>
      <c r="C19" s="22"/>
      <c r="D19" s="22"/>
      <c r="E19" s="22"/>
    </row>
    <row r="20" customFormat="false" ht="15" hidden="false" customHeight="false" outlineLevel="0" collapsed="false">
      <c r="A20" s="14" t="s">
        <v>82</v>
      </c>
      <c r="B20" s="27" t="n">
        <f aca="false">Bai1_HoiQuy!G20</f>
        <v>4482</v>
      </c>
      <c r="C20" s="22"/>
      <c r="D20" s="22"/>
      <c r="E20" s="22"/>
    </row>
    <row r="21" customFormat="false" ht="15" hidden="false" customHeight="false" outlineLevel="0" collapsed="false">
      <c r="A21" s="14" t="s">
        <v>83</v>
      </c>
      <c r="B21" s="27" t="n">
        <f aca="false">Bai1_HoiQuy!G21</f>
        <v>3079</v>
      </c>
      <c r="C21" s="22"/>
      <c r="D21" s="22"/>
      <c r="E21" s="22"/>
    </row>
    <row r="22" customFormat="false" ht="15" hidden="false" customHeight="false" outlineLevel="0" collapsed="false">
      <c r="A22" s="14" t="s">
        <v>84</v>
      </c>
      <c r="B22" s="27" t="n">
        <f aca="false">Bai1_HoiQuy!G22</f>
        <v>5047</v>
      </c>
      <c r="C22" s="22"/>
      <c r="D22" s="22"/>
      <c r="E22" s="22"/>
    </row>
    <row r="23" customFormat="false" ht="15" hidden="false" customHeight="false" outlineLevel="0" collapsed="false">
      <c r="A23" s="14" t="s">
        <v>85</v>
      </c>
      <c r="B23" s="27" t="n">
        <f aca="false">Bai1_HoiQuy!G23</f>
        <v>4138</v>
      </c>
      <c r="C23" s="22"/>
      <c r="D23" s="22"/>
      <c r="E23" s="22"/>
    </row>
    <row r="24" customFormat="false" ht="15" hidden="false" customHeight="false" outlineLevel="0" collapsed="false">
      <c r="A24" s="14" t="s">
        <v>86</v>
      </c>
      <c r="B24" s="27" t="n">
        <f aca="false">Bai1_HoiQuy!G24</f>
        <v>3611</v>
      </c>
      <c r="C24" s="22"/>
      <c r="D24" s="22"/>
      <c r="E24" s="22"/>
    </row>
    <row r="25" customFormat="false" ht="15" hidden="false" customHeight="false" outlineLevel="0" collapsed="false">
      <c r="A25" s="14" t="s">
        <v>87</v>
      </c>
      <c r="B25" s="27" t="n">
        <f aca="false">Bai1_HoiQuy!G25</f>
        <v>3949</v>
      </c>
      <c r="C25" s="22"/>
      <c r="D25" s="22"/>
      <c r="E25" s="22"/>
    </row>
    <row r="26" customFormat="false" ht="15" hidden="false" customHeight="false" outlineLevel="0" collapsed="false">
      <c r="A26" s="14" t="s">
        <v>88</v>
      </c>
      <c r="B26" s="27" t="n">
        <f aca="false">Bai1_HoiQuy!G26</f>
        <v>3997</v>
      </c>
      <c r="C26" s="22"/>
      <c r="D26" s="22"/>
      <c r="E26" s="22"/>
    </row>
    <row r="27" customFormat="false" ht="15" hidden="false" customHeight="false" outlineLevel="0" collapsed="false">
      <c r="A27" s="14" t="s">
        <v>89</v>
      </c>
      <c r="B27" s="27" t="n">
        <f aca="false">Bai1_HoiQuy!G27</f>
        <v>5984</v>
      </c>
      <c r="C27" s="22"/>
      <c r="D27" s="22"/>
      <c r="E27" s="22"/>
    </row>
    <row r="28" customFormat="false" ht="15" hidden="false" customHeight="false" outlineLevel="0" collapsed="false">
      <c r="A28" s="14" t="s">
        <v>90</v>
      </c>
      <c r="B28" s="27" t="n">
        <f aca="false">Bai1_HoiQuy!G28</f>
        <v>7310</v>
      </c>
      <c r="C28" s="22"/>
      <c r="D28" s="22"/>
      <c r="E28" s="22"/>
    </row>
    <row r="29" customFormat="false" ht="15" hidden="false" customHeight="false" outlineLevel="0" collapsed="false">
      <c r="A29" s="14" t="s">
        <v>91</v>
      </c>
      <c r="B29" s="27" t="n">
        <f aca="false">Bai1_HoiQuy!G29</f>
        <v>3751</v>
      </c>
      <c r="C29" s="22"/>
      <c r="D29" s="22"/>
      <c r="E29" s="22"/>
    </row>
    <row r="30" customFormat="false" ht="15" hidden="false" customHeight="false" outlineLevel="0" collapsed="false">
      <c r="A30" s="14" t="s">
        <v>92</v>
      </c>
      <c r="B30" s="27" t="n">
        <f aca="false">Bai1_HoiQuy!G30</f>
        <v>5389</v>
      </c>
      <c r="C30" s="22"/>
      <c r="D30" s="22"/>
      <c r="E30" s="22"/>
    </row>
    <row r="31" customFormat="false" ht="15" hidden="false" customHeight="false" outlineLevel="0" collapsed="false">
      <c r="A31" s="14" t="s">
        <v>93</v>
      </c>
      <c r="B31" s="27" t="n">
        <f aca="false">Bai1_HoiQuy!G31</f>
        <v>3926</v>
      </c>
      <c r="C31" s="22"/>
      <c r="D31" s="22"/>
      <c r="E31" s="22"/>
    </row>
    <row r="32" customFormat="false" ht="15" hidden="false" customHeight="false" outlineLevel="0" collapsed="false">
      <c r="A32" s="14" t="s">
        <v>94</v>
      </c>
      <c r="B32" s="27" t="n">
        <f aca="false">Bai1_HoiQuy!G32</f>
        <v>5132</v>
      </c>
      <c r="C32" s="22"/>
      <c r="D32" s="22"/>
      <c r="E32" s="22"/>
    </row>
    <row r="33" customFormat="false" ht="15" hidden="false" customHeight="false" outlineLevel="0" collapsed="false">
      <c r="A33" s="14" t="s">
        <v>95</v>
      </c>
      <c r="B33" s="27" t="n">
        <f aca="false">Bai1_HoiQuy!G33</f>
        <v>4992</v>
      </c>
      <c r="C33" s="22"/>
      <c r="D33" s="22"/>
      <c r="E33" s="22"/>
    </row>
    <row r="34" customFormat="false" ht="15" hidden="false" customHeight="false" outlineLevel="0" collapsed="false">
      <c r="A34" s="14" t="s">
        <v>96</v>
      </c>
      <c r="B34" s="27" t="n">
        <f aca="false">Bai1_HoiQuy!G34</f>
        <v>5869</v>
      </c>
      <c r="C34" s="22"/>
      <c r="D34" s="22"/>
      <c r="E34" s="22"/>
    </row>
    <row r="35" customFormat="false" ht="15" hidden="false" customHeight="false" outlineLevel="0" collapsed="false">
      <c r="A35" s="14" t="s">
        <v>97</v>
      </c>
      <c r="B35" s="27" t="n">
        <f aca="false">Bai1_HoiQuy!G35</f>
        <v>3768</v>
      </c>
      <c r="C35" s="22"/>
      <c r="D35" s="22"/>
      <c r="E35" s="22"/>
    </row>
    <row r="36" customFormat="false" ht="15" hidden="false" customHeight="false" outlineLevel="0" collapsed="false">
      <c r="A36" s="14" t="s">
        <v>98</v>
      </c>
      <c r="B36" s="27" t="n">
        <f aca="false">Bai1_HoiQuy!G36</f>
        <v>4230</v>
      </c>
      <c r="C36" s="22"/>
      <c r="D36" s="22"/>
      <c r="E36" s="22"/>
    </row>
    <row r="37" customFormat="false" ht="15" hidden="false" customHeight="false" outlineLevel="0" collapsed="false">
      <c r="A37" s="14" t="s">
        <v>99</v>
      </c>
      <c r="B37" s="27" t="n">
        <f aca="false">Bai1_HoiQuy!G37</f>
        <v>4594</v>
      </c>
      <c r="C37" s="22"/>
      <c r="D37" s="22"/>
      <c r="E37" s="22"/>
    </row>
    <row r="38" customFormat="false" ht="15" hidden="false" customHeight="false" outlineLevel="0" collapsed="false">
      <c r="A38" s="14" t="s">
        <v>100</v>
      </c>
      <c r="B38" s="27" t="n">
        <f aca="false">Bai1_HoiQuy!G38</f>
        <v>4523</v>
      </c>
      <c r="C38" s="22"/>
      <c r="D38" s="22"/>
      <c r="E38" s="22"/>
    </row>
    <row r="39" customFormat="false" ht="15" hidden="false" customHeight="false" outlineLevel="0" collapsed="false">
      <c r="A39" s="14" t="s">
        <v>101</v>
      </c>
      <c r="B39" s="27" t="n">
        <f aca="false">Bai1_HoiQuy!G39</f>
        <v>5854</v>
      </c>
      <c r="C39" s="22"/>
      <c r="D39" s="22"/>
      <c r="E39" s="22"/>
    </row>
    <row r="40" customFormat="false" ht="15" hidden="false" customHeight="false" outlineLevel="0" collapsed="false">
      <c r="A40" s="14" t="s">
        <v>102</v>
      </c>
      <c r="B40" s="27" t="n">
        <f aca="false">Bai1_HoiQuy!G40</f>
        <v>5897</v>
      </c>
      <c r="C40" s="22"/>
      <c r="D40" s="22"/>
      <c r="E40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</cols>
  <sheetData>
    <row r="1" customFormat="false" ht="30" hidden="false" customHeight="tru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30" hidden="false" customHeight="true" outlineLevel="0" collapsed="false">
      <c r="A4" s="6" t="s">
        <v>114</v>
      </c>
      <c r="B4" s="6" t="s">
        <v>115</v>
      </c>
      <c r="C4" s="6" t="s">
        <v>116</v>
      </c>
      <c r="D4" s="6" t="s">
        <v>117</v>
      </c>
    </row>
    <row r="5" customFormat="false" ht="15" hidden="false" customHeight="false" outlineLevel="0" collapsed="false">
      <c r="A5" s="7" t="s">
        <v>118</v>
      </c>
      <c r="B5" s="28" t="n">
        <f aca="false">Bai1_HoiQuy!E41</f>
        <v>0</v>
      </c>
      <c r="C5" s="28" t="n">
        <f aca="false">Bai1_HoiQuy!E42</f>
        <v>0.25</v>
      </c>
      <c r="D5" s="28" t="n">
        <f aca="false">Bai1_HoiQuy!E43</f>
        <v>0</v>
      </c>
    </row>
    <row r="6" customFormat="false" ht="15" hidden="false" customHeight="false" outlineLevel="0" collapsed="false">
      <c r="A6" s="7" t="s">
        <v>119</v>
      </c>
      <c r="B6" s="22"/>
      <c r="C6" s="22"/>
      <c r="D6" s="22"/>
    </row>
    <row r="7" customFormat="false" ht="15" hidden="false" customHeight="false" outlineLevel="0" collapsed="false">
      <c r="A7" s="7" t="s">
        <v>110</v>
      </c>
      <c r="B7" s="22"/>
      <c r="C7" s="22"/>
      <c r="D7" s="22"/>
    </row>
    <row r="8" customFormat="false" ht="15" hidden="false" customHeight="false" outlineLevel="0" collapsed="false">
      <c r="A8" s="7" t="s">
        <v>120</v>
      </c>
      <c r="B8" s="22"/>
      <c r="C8" s="22"/>
      <c r="D8" s="22"/>
    </row>
    <row r="9" customFormat="false" ht="15" hidden="false" customHeight="false" outlineLevel="0" collapsed="false">
      <c r="A9" s="7" t="s">
        <v>121</v>
      </c>
      <c r="B9" s="29"/>
      <c r="C9" s="29"/>
      <c r="D9" s="29"/>
    </row>
    <row r="10" customFormat="false" ht="15" hidden="false" customHeight="false" outlineLevel="0" collapsed="false">
      <c r="A10" s="7" t="s">
        <v>122</v>
      </c>
      <c r="B10" s="26" t="n">
        <v>0</v>
      </c>
      <c r="C10" s="26" t="n">
        <v>1.1</v>
      </c>
      <c r="D10" s="26" t="n">
        <v>0</v>
      </c>
    </row>
    <row r="11" customFormat="false" ht="15" hidden="false" customHeight="false" outlineLevel="0" collapsed="false">
      <c r="A11" s="7" t="s">
        <v>123</v>
      </c>
      <c r="B11" s="22"/>
      <c r="C11" s="22"/>
      <c r="D11" s="22"/>
    </row>
    <row r="13" customFormat="false" ht="15" hidden="false" customHeight="false" outlineLevel="0" collapsed="false">
      <c r="A13" s="7" t="s">
        <v>124</v>
      </c>
      <c r="C13" s="22"/>
    </row>
    <row r="14" customFormat="false" ht="15" hidden="false" customHeight="false" outlineLevel="0" collapsed="false">
      <c r="A14" s="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</cols>
  <sheetData>
    <row r="1" customFormat="false" ht="30" hidden="false" customHeight="tru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15" hidden="false" customHeight="false" outlineLevel="0" collapsed="false">
      <c r="A4" s="6" t="s">
        <v>128</v>
      </c>
      <c r="B4" s="6" t="s">
        <v>129</v>
      </c>
      <c r="C4" s="6" t="s">
        <v>36</v>
      </c>
    </row>
    <row r="5" customFormat="false" ht="15" hidden="false" customHeight="false" outlineLevel="0" collapsed="false">
      <c r="A5" s="14" t="s">
        <v>130</v>
      </c>
      <c r="B5" s="30" t="n">
        <v>280</v>
      </c>
      <c r="C5" s="31" t="s">
        <v>131</v>
      </c>
    </row>
    <row r="6" customFormat="false" ht="15" hidden="false" customHeight="false" outlineLevel="0" collapsed="false">
      <c r="A6" s="14" t="s">
        <v>132</v>
      </c>
      <c r="B6" s="30" t="n">
        <v>180</v>
      </c>
      <c r="C6" s="31" t="s">
        <v>131</v>
      </c>
    </row>
    <row r="7" customFormat="false" ht="15" hidden="false" customHeight="false" outlineLevel="0" collapsed="false">
      <c r="A7" s="14" t="s">
        <v>118</v>
      </c>
      <c r="B7" s="26" t="n">
        <v>0.25</v>
      </c>
      <c r="C7" s="31" t="s">
        <v>133</v>
      </c>
    </row>
    <row r="8" customFormat="false" ht="15" hidden="false" customHeight="false" outlineLevel="0" collapsed="false">
      <c r="A8" s="14" t="s">
        <v>134</v>
      </c>
      <c r="B8" s="30" t="n">
        <v>60000</v>
      </c>
      <c r="C8" s="31" t="s">
        <v>135</v>
      </c>
    </row>
    <row r="10" customFormat="false" ht="15" hidden="false" customHeight="false" outlineLevel="0" collapsed="false">
      <c r="A10" s="14" t="s">
        <v>136</v>
      </c>
      <c r="B10" s="27" t="n">
        <f aca="false">Bai3_KM_T11!C7</f>
        <v>0</v>
      </c>
    </row>
    <row r="11" customFormat="false" ht="15" hidden="false" customHeight="false" outlineLevel="0" collapsed="false">
      <c r="A11" s="14" t="s">
        <v>137</v>
      </c>
      <c r="B11" s="27" t="n">
        <f aca="false">Bai3_KM_T11!C6</f>
        <v>0</v>
      </c>
    </row>
    <row r="12" customFormat="false" ht="15" hidden="false" customHeight="false" outlineLevel="0" collapsed="false">
      <c r="A12" s="14" t="s">
        <v>138</v>
      </c>
      <c r="B12" s="27" t="n">
        <f aca="false">Bai3_KM_T11!D7</f>
        <v>0</v>
      </c>
    </row>
    <row r="13" customFormat="false" ht="15" hidden="false" customHeight="false" outlineLevel="0" collapsed="false">
      <c r="A13" s="14" t="s">
        <v>139</v>
      </c>
      <c r="B13" s="27" t="n">
        <f aca="false">Bai1_HoiQuy!J10</f>
        <v>0</v>
      </c>
    </row>
    <row r="15" customFormat="false" ht="15" hidden="false" customHeight="false" outlineLevel="0" collapsed="false">
      <c r="A15" s="6" t="s">
        <v>140</v>
      </c>
      <c r="B15" s="6" t="s">
        <v>129</v>
      </c>
      <c r="C15" s="6"/>
    </row>
    <row r="16" customFormat="false" ht="15" hidden="false" customHeight="false" outlineLevel="0" collapsed="false">
      <c r="A16" s="7" t="s">
        <v>141</v>
      </c>
      <c r="B16" s="22"/>
    </row>
    <row r="17" customFormat="false" ht="15" hidden="false" customHeight="false" outlineLevel="0" collapsed="false">
      <c r="A17" s="7" t="s">
        <v>142</v>
      </c>
      <c r="B17" s="22"/>
    </row>
    <row r="18" customFormat="false" ht="15" hidden="false" customHeight="false" outlineLevel="0" collapsed="false">
      <c r="A18" s="7" t="s">
        <v>143</v>
      </c>
      <c r="B18" s="22"/>
    </row>
    <row r="19" customFormat="false" ht="15" hidden="false" customHeight="false" outlineLevel="0" collapsed="false">
      <c r="A19" s="7" t="s">
        <v>144</v>
      </c>
      <c r="B19" s="29"/>
    </row>
    <row r="20" customFormat="false" ht="15" hidden="false" customHeight="false" outlineLevel="0" collapsed="false">
      <c r="A20" s="7" t="s">
        <v>145</v>
      </c>
      <c r="B20" s="29"/>
    </row>
    <row r="22" customFormat="false" ht="15" hidden="false" customHeight="false" outlineLevel="0" collapsed="false">
      <c r="A22" s="3" t="s">
        <v>146</v>
      </c>
    </row>
    <row r="23" customFormat="false" ht="15" hidden="false" customHeight="false" outlineLevel="0" collapsed="false">
      <c r="A23" s="32"/>
      <c r="B23" s="32"/>
      <c r="C23" s="32"/>
    </row>
    <row r="24" customFormat="false" ht="15" hidden="false" customHeight="false" outlineLevel="0" collapsed="false">
      <c r="A24" s="32"/>
      <c r="B24" s="32"/>
      <c r="C24" s="32"/>
    </row>
    <row r="25" customFormat="false" ht="15" hidden="false" customHeight="false" outlineLevel="0" collapsed="false">
      <c r="A25" s="32"/>
      <c r="B25" s="32"/>
      <c r="C25" s="32"/>
    </row>
    <row r="26" customFormat="false" ht="15" hidden="false" customHeight="false" outlineLevel="0" collapsed="false">
      <c r="A26" s="32"/>
      <c r="B26" s="32"/>
      <c r="C26" s="32"/>
    </row>
    <row r="27" customFormat="false" ht="15" hidden="false" customHeight="false" outlineLevel="0" collapsed="false">
      <c r="A27" s="32"/>
      <c r="B27" s="32"/>
      <c r="C27" s="32"/>
    </row>
  </sheetData>
  <mergeCells count="1">
    <mergeCell ref="A23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30"/>
  </cols>
  <sheetData>
    <row r="1" customFormat="false" ht="30" hidden="false" customHeight="true" outlineLevel="0" collapsed="false">
      <c r="A1" s="1" t="s">
        <v>147</v>
      </c>
    </row>
    <row r="2" customFormat="false" ht="15" hidden="false" customHeight="false" outlineLevel="0" collapsed="false">
      <c r="A2" s="2" t="s">
        <v>148</v>
      </c>
    </row>
    <row r="4" customFormat="false" ht="15" hidden="false" customHeight="false" outlineLevel="0" collapsed="false">
      <c r="A4" s="6" t="s">
        <v>149</v>
      </c>
      <c r="B4" s="6" t="s">
        <v>150</v>
      </c>
      <c r="C4" s="6" t="s">
        <v>151</v>
      </c>
    </row>
    <row r="5" customFormat="false" ht="27.75" hidden="false" customHeight="true" outlineLevel="0" collapsed="false">
      <c r="A5" s="33" t="s">
        <v>152</v>
      </c>
      <c r="B5" s="8" t="s">
        <v>153</v>
      </c>
      <c r="C5" s="8" t="s">
        <v>154</v>
      </c>
    </row>
    <row r="6" customFormat="false" ht="27.75" hidden="false" customHeight="true" outlineLevel="0" collapsed="false">
      <c r="A6" s="33" t="s">
        <v>155</v>
      </c>
      <c r="B6" s="8" t="s">
        <v>156</v>
      </c>
      <c r="C6" s="8" t="s">
        <v>157</v>
      </c>
    </row>
    <row r="7" customFormat="false" ht="27.75" hidden="false" customHeight="true" outlineLevel="0" collapsed="false">
      <c r="A7" s="33" t="s">
        <v>158</v>
      </c>
      <c r="B7" s="8" t="s">
        <v>159</v>
      </c>
      <c r="C7" s="8" t="s">
        <v>160</v>
      </c>
    </row>
    <row r="8" customFormat="false" ht="27.75" hidden="false" customHeight="true" outlineLevel="0" collapsed="false">
      <c r="A8" s="33" t="s">
        <v>161</v>
      </c>
      <c r="B8" s="8" t="s">
        <v>162</v>
      </c>
      <c r="C8" s="8" t="s">
        <v>163</v>
      </c>
    </row>
    <row r="9" customFormat="false" ht="27.75" hidden="false" customHeight="true" outlineLevel="0" collapsed="false">
      <c r="A9" s="33" t="s">
        <v>164</v>
      </c>
      <c r="B9" s="8" t="s">
        <v>165</v>
      </c>
      <c r="C9" s="8" t="s">
        <v>166</v>
      </c>
    </row>
    <row r="10" customFormat="false" ht="27.75" hidden="false" customHeight="true" outlineLevel="0" collapsed="false">
      <c r="A10" s="33" t="s">
        <v>167</v>
      </c>
      <c r="B10" s="8" t="s">
        <v>168</v>
      </c>
      <c r="C10" s="8" t="s">
        <v>169</v>
      </c>
    </row>
    <row r="11" customFormat="false" ht="27.75" hidden="false" customHeight="true" outlineLevel="0" collapsed="false">
      <c r="A11" s="33" t="s">
        <v>170</v>
      </c>
      <c r="B11" s="8" t="s">
        <v>171</v>
      </c>
      <c r="C11" s="8" t="s">
        <v>172</v>
      </c>
    </row>
    <row r="12" customFormat="false" ht="27.75" hidden="false" customHeight="true" outlineLevel="0" collapsed="false">
      <c r="A12" s="33" t="s">
        <v>173</v>
      </c>
      <c r="B12" s="8" t="s">
        <v>174</v>
      </c>
      <c r="C12" s="8" t="s">
        <v>175</v>
      </c>
    </row>
    <row r="13" customFormat="false" ht="27.75" hidden="false" customHeight="true" outlineLevel="0" collapsed="false">
      <c r="A13" s="33" t="s">
        <v>176</v>
      </c>
      <c r="B13" s="8" t="s">
        <v>177</v>
      </c>
      <c r="C13" s="8" t="s">
        <v>178</v>
      </c>
    </row>
    <row r="14" customFormat="false" ht="27.75" hidden="false" customHeight="true" outlineLevel="0" collapsed="false">
      <c r="A14" s="33" t="s">
        <v>179</v>
      </c>
      <c r="B14" s="8" t="s">
        <v>180</v>
      </c>
      <c r="C14" s="8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1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3"/>
    <col collapsed="false" customWidth="true" hidden="false" outlineLevel="0" max="8" min="8" style="0" width="34"/>
    <col collapsed="false" customWidth="true" hidden="false" outlineLevel="0" max="9" min="9" style="0" width="12"/>
  </cols>
  <sheetData>
    <row r="1" customFormat="false" ht="30" hidden="false" customHeight="true" outlineLevel="0" collapsed="false">
      <c r="A1" s="1" t="s">
        <v>182</v>
      </c>
    </row>
    <row r="2" customFormat="false" ht="15" hidden="false" customHeight="false" outlineLevel="0" collapsed="false">
      <c r="A2" s="2" t="s">
        <v>183</v>
      </c>
    </row>
    <row r="4" customFormat="false" ht="30" hidden="false" customHeight="true" outlineLevel="0" collapsed="false">
      <c r="A4" s="6" t="s">
        <v>43</v>
      </c>
      <c r="B4" s="6" t="s">
        <v>184</v>
      </c>
      <c r="C4" s="6" t="s">
        <v>185</v>
      </c>
      <c r="D4" s="6" t="s">
        <v>186</v>
      </c>
      <c r="E4" s="6" t="s">
        <v>187</v>
      </c>
      <c r="F4" s="6" t="s">
        <v>188</v>
      </c>
      <c r="H4" s="34" t="s">
        <v>189</v>
      </c>
      <c r="I4" s="34" t="s">
        <v>129</v>
      </c>
    </row>
    <row r="5" customFormat="false" ht="15" hidden="false" customHeight="false" outlineLevel="0" collapsed="false">
      <c r="A5" s="14" t="s">
        <v>88</v>
      </c>
      <c r="B5" s="14" t="n">
        <v>1</v>
      </c>
      <c r="C5" s="17" t="n">
        <v>9382</v>
      </c>
      <c r="D5" s="22"/>
      <c r="E5" s="22"/>
      <c r="F5" s="22"/>
      <c r="H5" s="14" t="s">
        <v>190</v>
      </c>
      <c r="I5" s="30" t="n">
        <v>1300</v>
      </c>
    </row>
    <row r="6" customFormat="false" ht="15" hidden="false" customHeight="false" outlineLevel="0" collapsed="false">
      <c r="A6" s="14" t="s">
        <v>89</v>
      </c>
      <c r="B6" s="14" t="n">
        <v>2</v>
      </c>
      <c r="C6" s="17" t="n">
        <v>4756</v>
      </c>
      <c r="D6" s="22"/>
      <c r="E6" s="22"/>
      <c r="F6" s="22"/>
      <c r="H6" s="14" t="s">
        <v>191</v>
      </c>
      <c r="I6" s="30" t="n">
        <v>6</v>
      </c>
    </row>
    <row r="7" customFormat="false" ht="15" hidden="false" customHeight="false" outlineLevel="0" collapsed="false">
      <c r="A7" s="14" t="s">
        <v>90</v>
      </c>
      <c r="B7" s="14" t="n">
        <v>3</v>
      </c>
      <c r="C7" s="17" t="n">
        <v>1825</v>
      </c>
      <c r="D7" s="22"/>
      <c r="E7" s="22"/>
      <c r="F7" s="22"/>
      <c r="H7" s="14" t="s">
        <v>192</v>
      </c>
      <c r="I7" s="30" t="n">
        <v>2600</v>
      </c>
    </row>
    <row r="8" customFormat="false" ht="15" hidden="false" customHeight="false" outlineLevel="0" collapsed="false">
      <c r="A8" s="14" t="s">
        <v>91</v>
      </c>
      <c r="B8" s="14" t="n">
        <v>4</v>
      </c>
      <c r="C8" s="17" t="n">
        <v>3547</v>
      </c>
      <c r="D8" s="22"/>
      <c r="E8" s="22"/>
      <c r="F8" s="22"/>
      <c r="H8" s="14" t="s">
        <v>193</v>
      </c>
      <c r="I8" s="26" t="n">
        <v>0.55</v>
      </c>
    </row>
    <row r="9" customFormat="false" ht="15" hidden="false" customHeight="false" outlineLevel="0" collapsed="false">
      <c r="A9" s="14" t="s">
        <v>92</v>
      </c>
      <c r="B9" s="14" t="n">
        <v>5</v>
      </c>
      <c r="C9" s="17" t="n">
        <v>1887</v>
      </c>
      <c r="D9" s="22"/>
      <c r="E9" s="22"/>
      <c r="F9" s="22"/>
      <c r="H9" s="14" t="s">
        <v>194</v>
      </c>
      <c r="I9" s="26" t="n">
        <v>0.09</v>
      </c>
    </row>
    <row r="10" customFormat="false" ht="15" hidden="false" customHeight="false" outlineLevel="0" collapsed="false">
      <c r="A10" s="14" t="s">
        <v>93</v>
      </c>
      <c r="B10" s="14" t="n">
        <v>6</v>
      </c>
      <c r="C10" s="17" t="n">
        <v>2504</v>
      </c>
      <c r="D10" s="22"/>
      <c r="E10" s="22"/>
      <c r="F10" s="22"/>
    </row>
    <row r="11" customFormat="false" ht="15" hidden="false" customHeight="false" outlineLevel="0" collapsed="false">
      <c r="A11" s="14" t="s">
        <v>94</v>
      </c>
      <c r="B11" s="14" t="n">
        <v>7</v>
      </c>
      <c r="C11" s="17" t="n">
        <v>3603</v>
      </c>
      <c r="D11" s="22"/>
      <c r="E11" s="22"/>
      <c r="F11" s="22"/>
    </row>
    <row r="12" customFormat="false" ht="15" hidden="false" customHeight="false" outlineLevel="0" collapsed="false">
      <c r="A12" s="14" t="s">
        <v>95</v>
      </c>
      <c r="B12" s="14" t="n">
        <v>8</v>
      </c>
      <c r="C12" s="17" t="n">
        <v>2020</v>
      </c>
      <c r="D12" s="22"/>
      <c r="E12" s="22"/>
      <c r="F12" s="22"/>
      <c r="H12" s="2" t="s">
        <v>195</v>
      </c>
    </row>
    <row r="13" customFormat="false" ht="15" hidden="false" customHeight="false" outlineLevel="0" collapsed="false">
      <c r="A13" s="14" t="s">
        <v>96</v>
      </c>
      <c r="B13" s="14" t="n">
        <v>9</v>
      </c>
      <c r="C13" s="17" t="n">
        <v>3236</v>
      </c>
      <c r="D13" s="22"/>
      <c r="E13" s="22"/>
      <c r="F13" s="22"/>
      <c r="H13" s="2" t="s">
        <v>196</v>
      </c>
    </row>
    <row r="14" customFormat="false" ht="15" hidden="false" customHeight="false" outlineLevel="0" collapsed="false">
      <c r="A14" s="14" t="s">
        <v>97</v>
      </c>
      <c r="B14" s="14" t="n">
        <v>10</v>
      </c>
      <c r="C14" s="17" t="n">
        <v>3257</v>
      </c>
      <c r="D14" s="22"/>
      <c r="E14" s="22"/>
      <c r="F14" s="22"/>
    </row>
    <row r="15" customFormat="false" ht="15" hidden="false" customHeight="false" outlineLevel="0" collapsed="false">
      <c r="A15" s="14" t="s">
        <v>98</v>
      </c>
      <c r="B15" s="14" t="n">
        <v>11</v>
      </c>
      <c r="C15" s="17" t="n">
        <v>3230</v>
      </c>
      <c r="D15" s="22"/>
      <c r="E15" s="22"/>
      <c r="F15" s="22"/>
    </row>
    <row r="16" customFormat="false" ht="15" hidden="false" customHeight="false" outlineLevel="0" collapsed="false">
      <c r="A16" s="14" t="s">
        <v>99</v>
      </c>
      <c r="B16" s="14" t="n">
        <v>12</v>
      </c>
      <c r="C16" s="17" t="n">
        <v>2369</v>
      </c>
      <c r="D16" s="22"/>
      <c r="E16" s="22"/>
      <c r="F16" s="22"/>
    </row>
    <row r="17" customFormat="false" ht="15" hidden="false" customHeight="false" outlineLevel="0" collapsed="false">
      <c r="A17" s="14" t="s">
        <v>100</v>
      </c>
      <c r="B17" s="14" t="n">
        <v>13</v>
      </c>
      <c r="C17" s="17" t="n">
        <v>2380</v>
      </c>
      <c r="D17" s="22"/>
      <c r="E17" s="22"/>
      <c r="F17" s="22"/>
    </row>
    <row r="18" customFormat="false" ht="15" hidden="false" customHeight="false" outlineLevel="0" collapsed="false">
      <c r="A18" s="14" t="s">
        <v>101</v>
      </c>
      <c r="B18" s="14" t="n">
        <v>14</v>
      </c>
      <c r="C18" s="17" t="n">
        <v>2831</v>
      </c>
      <c r="D18" s="22"/>
      <c r="E18" s="22"/>
      <c r="F18" s="22"/>
    </row>
    <row r="19" customFormat="false" ht="15" hidden="false" customHeight="false" outlineLevel="0" collapsed="false">
      <c r="A19" s="14" t="s">
        <v>102</v>
      </c>
      <c r="B19" s="14" t="n">
        <v>15</v>
      </c>
      <c r="C19" s="17" t="n">
        <v>2739</v>
      </c>
      <c r="D19" s="22"/>
      <c r="E19" s="22"/>
      <c r="F19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2026-10-24T23:10:11Z</dcterms:created>
  <dc:creator>openpyxl</dc:creator>
  <dc:description/>
  <dc:language>en-US</dc:language>
  <cp:lastModifiedBy/>
  <dcterms:modified xsi:type="dcterms:W3CDTF">2026-10-25T00:11:22Z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