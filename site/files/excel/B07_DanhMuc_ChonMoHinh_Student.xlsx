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HuongDan" sheetId="1" state="visible" r:id="rId3"/>
    <sheet name="Data_12T" sheetId="2" state="visible" r:id="rId4"/>
    <sheet name="Bai1_ABC_XYZ" sheetId="3" state="visible" r:id="rId5"/>
    <sheet name="Bai2_MaTran" sheetId="4" state="visible" r:id="rId6"/>
    <sheet name="Bai3_Croston_H02" sheetId="5" state="visible" r:id="rId7"/>
    <sheet name="Bai4_TopDown" sheetId="6" state="visible" r:id="rId8"/>
    <sheet name="Bai5_DeXuatCapston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Sản lượng × giá / 1000</t>
        </r>
      </text>
    </comment>
    <comment ref="C6" authorId="0">
      <text>
        <r>
          <rPr>
            <sz val="10"/>
            <rFont val="Arial"/>
            <family val="2"/>
          </rPr>
          <t xml:space="preserve">Sản lượng × giá / 1000</t>
        </r>
      </text>
    </comment>
    <comment ref="C7" authorId="0">
      <text>
        <r>
          <rPr>
            <sz val="10"/>
            <rFont val="Arial"/>
            <family val="2"/>
          </rPr>
          <t xml:space="preserve">Sản lượng × giá / 1000</t>
        </r>
      </text>
    </comment>
    <comment ref="C8" authorId="0">
      <text>
        <r>
          <rPr>
            <sz val="10"/>
            <rFont val="Arial"/>
            <family val="2"/>
          </rPr>
          <t xml:space="preserve">Sản lượng × giá / 1000</t>
        </r>
      </text>
    </comment>
    <comment ref="C9" authorId="0">
      <text>
        <r>
          <rPr>
            <sz val="10"/>
            <rFont val="Arial"/>
            <family val="2"/>
          </rPr>
          <t xml:space="preserve">Sản lượng × giá / 1000</t>
        </r>
      </text>
    </comment>
    <comment ref="C10" authorId="0">
      <text>
        <r>
          <rPr>
            <sz val="10"/>
            <rFont val="Arial"/>
            <family val="2"/>
          </rPr>
          <t xml:space="preserve">Sản lượng × giá / 1000</t>
        </r>
      </text>
    </comment>
    <comment ref="C11" authorId="0">
      <text>
        <r>
          <rPr>
            <sz val="10"/>
            <rFont val="Arial"/>
            <family val="2"/>
          </rPr>
          <t xml:space="preserve">Sản lượng × giá / 1000</t>
        </r>
      </text>
    </comment>
    <comment ref="C12" authorId="0">
      <text>
        <r>
          <rPr>
            <sz val="10"/>
            <rFont val="Arial"/>
            <family val="2"/>
          </rPr>
          <t xml:space="preserve">Sản lượng × giá / 1000</t>
        </r>
      </text>
    </comment>
    <comment ref="C13" authorId="0">
      <text>
        <r>
          <rPr>
            <sz val="10"/>
            <rFont val="Arial"/>
            <family val="2"/>
          </rPr>
          <t xml:space="preserve">Sản lượng × giá / 1000</t>
        </r>
      </text>
    </comment>
    <comment ref="C14" authorId="0">
      <text>
        <r>
          <rPr>
            <sz val="10"/>
            <rFont val="Arial"/>
            <family val="2"/>
          </rPr>
          <t xml:space="preserve">Sản lượng × giá / 1000</t>
        </r>
      </text>
    </comment>
    <comment ref="C15" authorId="0">
      <text>
        <r>
          <rPr>
            <sz val="10"/>
            <rFont val="Arial"/>
            <family val="2"/>
          </rPr>
          <t xml:space="preserve">Sản lượng × giá / 1000</t>
        </r>
      </text>
    </comment>
    <comment ref="C16" authorId="0">
      <text>
        <r>
          <rPr>
            <sz val="10"/>
            <rFont val="Arial"/>
            <family val="2"/>
          </rPr>
          <t xml:space="preserve">Sản lượng × giá / 1000</t>
        </r>
      </text>
    </comment>
    <comment ref="C17" authorId="0">
      <text>
        <r>
          <rPr>
            <sz val="10"/>
            <rFont val="Arial"/>
            <family val="2"/>
          </rPr>
          <t xml:space="preserve">Sản lượng × giá / 1000</t>
        </r>
      </text>
    </comment>
    <comment ref="C18" authorId="0">
      <text>
        <r>
          <rPr>
            <sz val="10"/>
            <rFont val="Arial"/>
            <family val="2"/>
          </rPr>
          <t xml:space="preserve">Sản lượng × giá / 1000</t>
        </r>
      </text>
    </comment>
    <comment ref="C19" authorId="0">
      <text>
        <r>
          <rPr>
            <sz val="10"/>
            <rFont val="Arial"/>
            <family val="2"/>
          </rPr>
          <t xml:space="preserve">Sản lượng × giá / 1000</t>
        </r>
      </text>
    </comment>
    <comment ref="C20" authorId="0">
      <text>
        <r>
          <rPr>
            <sz val="10"/>
            <rFont val="Arial"/>
            <family val="2"/>
          </rPr>
          <t xml:space="preserve">Sản lượng × giá / 1000</t>
        </r>
      </text>
    </comment>
    <comment ref="C21" authorId="0">
      <text>
        <r>
          <rPr>
            <sz val="10"/>
            <rFont val="Arial"/>
            <family val="2"/>
          </rPr>
          <t xml:space="preserve">Sản lượng × giá / 1000</t>
        </r>
      </text>
    </comment>
    <comment ref="C22" authorId="0">
      <text>
        <r>
          <rPr>
            <sz val="10"/>
            <rFont val="Arial"/>
            <family val="2"/>
          </rPr>
          <t xml:space="preserve">Sản lượng × giá / 1000</t>
        </r>
      </text>
    </comment>
    <comment ref="C23" authorId="0">
      <text>
        <r>
          <rPr>
            <sz val="10"/>
            <rFont val="Arial"/>
            <family val="2"/>
          </rPr>
          <t xml:space="preserve">Sản lượng × giá / 1000</t>
        </r>
      </text>
    </comment>
    <comment ref="C24" authorId="0">
      <text>
        <r>
          <rPr>
            <sz val="10"/>
            <rFont val="Arial"/>
            <family val="2"/>
          </rPr>
          <t xml:space="preserve">Sản lượng × giá / 1000</t>
        </r>
      </text>
    </comment>
    <comment ref="C25" authorId="0">
      <text>
        <r>
          <rPr>
            <sz val="10"/>
            <rFont val="Arial"/>
            <family val="2"/>
          </rPr>
          <t xml:space="preserve">Sản lượng × giá / 1000</t>
        </r>
      </text>
    </comment>
    <comment ref="C26" authorId="0">
      <text>
        <r>
          <rPr>
            <sz val="10"/>
            <rFont val="Arial"/>
            <family val="2"/>
          </rPr>
          <t xml:space="preserve">Sản lượng × giá / 1000</t>
        </r>
      </text>
    </comment>
    <comment ref="C27" authorId="0">
      <text>
        <r>
          <rPr>
            <sz val="10"/>
            <rFont val="Arial"/>
            <family val="2"/>
          </rPr>
          <t xml:space="preserve">Sản lượng × giá / 1000</t>
        </r>
      </text>
    </comment>
    <comment ref="D5" authorId="0">
      <text>
        <r>
          <rPr>
            <sz val="10"/>
            <rFont val="Arial"/>
            <family val="2"/>
          </rPr>
          <t xml:space="preserve">Tỷ trọng lũy kế (đã sắp giảm dần)</t>
        </r>
      </text>
    </comment>
    <comment ref="D6" authorId="0">
      <text>
        <r>
          <rPr>
            <sz val="10"/>
            <rFont val="Arial"/>
            <family val="2"/>
          </rPr>
          <t xml:space="preserve">Tỷ trọng lũy kế (đã sắp giảm dần)</t>
        </r>
      </text>
    </comment>
    <comment ref="D7" authorId="0">
      <text>
        <r>
          <rPr>
            <sz val="10"/>
            <rFont val="Arial"/>
            <family val="2"/>
          </rPr>
          <t xml:space="preserve">Tỷ trọng lũy kế (đã sắp giảm dần)</t>
        </r>
      </text>
    </comment>
    <comment ref="D8" authorId="0">
      <text>
        <r>
          <rPr>
            <sz val="10"/>
            <rFont val="Arial"/>
            <family val="2"/>
          </rPr>
          <t xml:space="preserve">Tỷ trọng lũy kế (đã sắp giảm dần)</t>
        </r>
      </text>
    </comment>
    <comment ref="D9" authorId="0">
      <text>
        <r>
          <rPr>
            <sz val="10"/>
            <rFont val="Arial"/>
            <family val="2"/>
          </rPr>
          <t xml:space="preserve">Tỷ trọng lũy kế (đã sắp giảm dần)</t>
        </r>
      </text>
    </comment>
    <comment ref="D10" authorId="0">
      <text>
        <r>
          <rPr>
            <sz val="10"/>
            <rFont val="Arial"/>
            <family val="2"/>
          </rPr>
          <t xml:space="preserve">Tỷ trọng lũy kế (đã sắp giảm dần)</t>
        </r>
      </text>
    </comment>
    <comment ref="D11" authorId="0">
      <text>
        <r>
          <rPr>
            <sz val="10"/>
            <rFont val="Arial"/>
            <family val="2"/>
          </rPr>
          <t xml:space="preserve">Tỷ trọng lũy kế (đã sắp giảm dần)</t>
        </r>
      </text>
    </comment>
    <comment ref="D12" authorId="0">
      <text>
        <r>
          <rPr>
            <sz val="10"/>
            <rFont val="Arial"/>
            <family val="2"/>
          </rPr>
          <t xml:space="preserve">Tỷ trọng lũy kế (đã sắp giảm dần)</t>
        </r>
      </text>
    </comment>
    <comment ref="D13" authorId="0">
      <text>
        <r>
          <rPr>
            <sz val="10"/>
            <rFont val="Arial"/>
            <family val="2"/>
          </rPr>
          <t xml:space="preserve">Tỷ trọng lũy kế (đã sắp giảm dần)</t>
        </r>
      </text>
    </comment>
    <comment ref="D14" authorId="0">
      <text>
        <r>
          <rPr>
            <sz val="10"/>
            <rFont val="Arial"/>
            <family val="2"/>
          </rPr>
          <t xml:space="preserve">Tỷ trọng lũy kế (đã sắp giảm dần)</t>
        </r>
      </text>
    </comment>
    <comment ref="D15" authorId="0">
      <text>
        <r>
          <rPr>
            <sz val="10"/>
            <rFont val="Arial"/>
            <family val="2"/>
          </rPr>
          <t xml:space="preserve">Tỷ trọng lũy kế (đã sắp giảm dần)</t>
        </r>
      </text>
    </comment>
    <comment ref="D16" authorId="0">
      <text>
        <r>
          <rPr>
            <sz val="10"/>
            <rFont val="Arial"/>
            <family val="2"/>
          </rPr>
          <t xml:space="preserve">Tỷ trọng lũy kế (đã sắp giảm dần)</t>
        </r>
      </text>
    </comment>
    <comment ref="D17" authorId="0">
      <text>
        <r>
          <rPr>
            <sz val="10"/>
            <rFont val="Arial"/>
            <family val="2"/>
          </rPr>
          <t xml:space="preserve">Tỷ trọng lũy kế (đã sắp giảm dần)</t>
        </r>
      </text>
    </comment>
    <comment ref="D18" authorId="0">
      <text>
        <r>
          <rPr>
            <sz val="10"/>
            <rFont val="Arial"/>
            <family val="2"/>
          </rPr>
          <t xml:space="preserve">Tỷ trọng lũy kế (đã sắp giảm dần)</t>
        </r>
      </text>
    </comment>
    <comment ref="D19" authorId="0">
      <text>
        <r>
          <rPr>
            <sz val="10"/>
            <rFont val="Arial"/>
            <family val="2"/>
          </rPr>
          <t xml:space="preserve">Tỷ trọng lũy kế (đã sắp giảm dần)</t>
        </r>
      </text>
    </comment>
    <comment ref="D20" authorId="0">
      <text>
        <r>
          <rPr>
            <sz val="10"/>
            <rFont val="Arial"/>
            <family val="2"/>
          </rPr>
          <t xml:space="preserve">Tỷ trọng lũy kế (đã sắp giảm dần)</t>
        </r>
      </text>
    </comment>
    <comment ref="D21" authorId="0">
      <text>
        <r>
          <rPr>
            <sz val="10"/>
            <rFont val="Arial"/>
            <family val="2"/>
          </rPr>
          <t xml:space="preserve">Tỷ trọng lũy kế (đã sắp giảm dần)</t>
        </r>
      </text>
    </comment>
    <comment ref="D22" authorId="0">
      <text>
        <r>
          <rPr>
            <sz val="10"/>
            <rFont val="Arial"/>
            <family val="2"/>
          </rPr>
          <t xml:space="preserve">Tỷ trọng lũy kế (đã sắp giảm dần)</t>
        </r>
      </text>
    </comment>
    <comment ref="D23" authorId="0">
      <text>
        <r>
          <rPr>
            <sz val="10"/>
            <rFont val="Arial"/>
            <family val="2"/>
          </rPr>
          <t xml:space="preserve">Tỷ trọng lũy kế (đã sắp giảm dần)</t>
        </r>
      </text>
    </comment>
    <comment ref="D24" authorId="0">
      <text>
        <r>
          <rPr>
            <sz val="10"/>
            <rFont val="Arial"/>
            <family val="2"/>
          </rPr>
          <t xml:space="preserve">Tỷ trọng lũy kế (đã sắp giảm dần)</t>
        </r>
      </text>
    </comment>
    <comment ref="D25" authorId="0">
      <text>
        <r>
          <rPr>
            <sz val="10"/>
            <rFont val="Arial"/>
            <family val="2"/>
          </rPr>
          <t xml:space="preserve">Tỷ trọng lũy kế (đã sắp giảm dần)</t>
        </r>
      </text>
    </comment>
    <comment ref="D26" authorId="0">
      <text>
        <r>
          <rPr>
            <sz val="10"/>
            <rFont val="Arial"/>
            <family val="2"/>
          </rPr>
          <t xml:space="preserve">Tỷ trọng lũy kế (đã sắp giảm dần)</t>
        </r>
      </text>
    </comment>
    <comment ref="D27" authorId="0">
      <text>
        <r>
          <rPr>
            <sz val="10"/>
            <rFont val="Arial"/>
            <family val="2"/>
          </rPr>
          <t xml:space="preserve">Tỷ trọng lũy kế (đã sắp giảm dần)</t>
        </r>
      </text>
    </comment>
    <comment ref="E6" authorId="0">
      <text>
        <r>
          <rPr>
            <sz val="10"/>
            <rFont val="Arial"/>
            <family val="2"/>
          </rPr>
          <t xml:space="preserve">Xét lũy kế TRƯỚC mã này: &lt; 80% → A; &lt; 95% → B; còn lại C</t>
        </r>
      </text>
    </comment>
    <comment ref="E7" authorId="0">
      <text>
        <r>
          <rPr>
            <sz val="10"/>
            <rFont val="Arial"/>
            <family val="2"/>
          </rPr>
          <t xml:space="preserve">Xét lũy kế TRƯỚC mã này: &lt; 80% → A; &lt; 95% → B; còn lại C</t>
        </r>
      </text>
    </comment>
    <comment ref="E8" authorId="0">
      <text>
        <r>
          <rPr>
            <sz val="10"/>
            <rFont val="Arial"/>
            <family val="2"/>
          </rPr>
          <t xml:space="preserve">Xét lũy kế TRƯỚC mã này: &lt; 80% → A; &lt; 95% → B; còn lại C</t>
        </r>
      </text>
    </comment>
    <comment ref="E9" authorId="0">
      <text>
        <r>
          <rPr>
            <sz val="10"/>
            <rFont val="Arial"/>
            <family val="2"/>
          </rPr>
          <t xml:space="preserve">Xét lũy kế TRƯỚC mã này: &lt; 80% → A; &lt; 95% → B; còn lại C</t>
        </r>
      </text>
    </comment>
    <comment ref="E10" authorId="0">
      <text>
        <r>
          <rPr>
            <sz val="10"/>
            <rFont val="Arial"/>
            <family val="2"/>
          </rPr>
          <t xml:space="preserve">Xét lũy kế TRƯỚC mã này: &lt; 80% → A; &lt; 95% → B; còn lại C</t>
        </r>
      </text>
    </comment>
    <comment ref="E11" authorId="0">
      <text>
        <r>
          <rPr>
            <sz val="10"/>
            <rFont val="Arial"/>
            <family val="2"/>
          </rPr>
          <t xml:space="preserve">Xét lũy kế TRƯỚC mã này: &lt; 80% → A; &lt; 95% → B; còn lại C</t>
        </r>
      </text>
    </comment>
    <comment ref="E12" authorId="0">
      <text>
        <r>
          <rPr>
            <sz val="10"/>
            <rFont val="Arial"/>
            <family val="2"/>
          </rPr>
          <t xml:space="preserve">Xét lũy kế TRƯỚC mã này: &lt; 80% → A; &lt; 95% → B; còn lại C</t>
        </r>
      </text>
    </comment>
    <comment ref="E13" authorId="0">
      <text>
        <r>
          <rPr>
            <sz val="10"/>
            <rFont val="Arial"/>
            <family val="2"/>
          </rPr>
          <t xml:space="preserve">Xét lũy kế TRƯỚC mã này: &lt; 80% → A; &lt; 95% → B; còn lại C</t>
        </r>
      </text>
    </comment>
    <comment ref="E14" authorId="0">
      <text>
        <r>
          <rPr>
            <sz val="10"/>
            <rFont val="Arial"/>
            <family val="2"/>
          </rPr>
          <t xml:space="preserve">Xét lũy kế TRƯỚC mã này: &lt; 80% → A; &lt; 95% → B; còn lại C</t>
        </r>
      </text>
    </comment>
    <comment ref="E15" authorId="0">
      <text>
        <r>
          <rPr>
            <sz val="10"/>
            <rFont val="Arial"/>
            <family val="2"/>
          </rPr>
          <t xml:space="preserve">Xét lũy kế TRƯỚC mã này: &lt; 80% → A; &lt; 95% → B; còn lại C</t>
        </r>
      </text>
    </comment>
    <comment ref="E16" authorId="0">
      <text>
        <r>
          <rPr>
            <sz val="10"/>
            <rFont val="Arial"/>
            <family val="2"/>
          </rPr>
          <t xml:space="preserve">Xét lũy kế TRƯỚC mã này: &lt; 80% → A; &lt; 95% → B; còn lại C</t>
        </r>
      </text>
    </comment>
    <comment ref="E17" authorId="0">
      <text>
        <r>
          <rPr>
            <sz val="10"/>
            <rFont val="Arial"/>
            <family val="2"/>
          </rPr>
          <t xml:space="preserve">Xét lũy kế TRƯỚC mã này: &lt; 80% → A; &lt; 95% → B; còn lại C</t>
        </r>
      </text>
    </comment>
    <comment ref="E18" authorId="0">
      <text>
        <r>
          <rPr>
            <sz val="10"/>
            <rFont val="Arial"/>
            <family val="2"/>
          </rPr>
          <t xml:space="preserve">Xét lũy kế TRƯỚC mã này: &lt; 80% → A; &lt; 95% → B; còn lại C</t>
        </r>
      </text>
    </comment>
    <comment ref="E19" authorId="0">
      <text>
        <r>
          <rPr>
            <sz val="10"/>
            <rFont val="Arial"/>
            <family val="2"/>
          </rPr>
          <t xml:space="preserve">Xét lũy kế TRƯỚC mã này: &lt; 80% → A; &lt; 95% → B; còn lại C</t>
        </r>
      </text>
    </comment>
    <comment ref="E20" authorId="0">
      <text>
        <r>
          <rPr>
            <sz val="10"/>
            <rFont val="Arial"/>
            <family val="2"/>
          </rPr>
          <t xml:space="preserve">Xét lũy kế TRƯỚC mã này: &lt; 80% → A; &lt; 95% → B; còn lại C</t>
        </r>
      </text>
    </comment>
    <comment ref="E21" authorId="0">
      <text>
        <r>
          <rPr>
            <sz val="10"/>
            <rFont val="Arial"/>
            <family val="2"/>
          </rPr>
          <t xml:space="preserve">Xét lũy kế TRƯỚC mã này: &lt; 80% → A; &lt; 95% → B; còn lại C</t>
        </r>
      </text>
    </comment>
    <comment ref="E22" authorId="0">
      <text>
        <r>
          <rPr>
            <sz val="10"/>
            <rFont val="Arial"/>
            <family val="2"/>
          </rPr>
          <t xml:space="preserve">Xét lũy kế TRƯỚC mã này: &lt; 80% → A; &lt; 95% → B; còn lại C</t>
        </r>
      </text>
    </comment>
    <comment ref="E23" authorId="0">
      <text>
        <r>
          <rPr>
            <sz val="10"/>
            <rFont val="Arial"/>
            <family val="2"/>
          </rPr>
          <t xml:space="preserve">Xét lũy kế TRƯỚC mã này: &lt; 80% → A; &lt; 95% → B; còn lại C</t>
        </r>
      </text>
    </comment>
    <comment ref="E24" authorId="0">
      <text>
        <r>
          <rPr>
            <sz val="10"/>
            <rFont val="Arial"/>
            <family val="2"/>
          </rPr>
          <t xml:space="preserve">Xét lũy kế TRƯỚC mã này: &lt; 80% → A; &lt; 95% → B; còn lại C</t>
        </r>
      </text>
    </comment>
    <comment ref="E25" authorId="0">
      <text>
        <r>
          <rPr>
            <sz val="10"/>
            <rFont val="Arial"/>
            <family val="2"/>
          </rPr>
          <t xml:space="preserve">Xét lũy kế TRƯỚC mã này: &lt; 80% → A; &lt; 95% → B; còn lại C</t>
        </r>
      </text>
    </comment>
    <comment ref="E26" authorId="0">
      <text>
        <r>
          <rPr>
            <sz val="10"/>
            <rFont val="Arial"/>
            <family val="2"/>
          </rPr>
          <t xml:space="preserve">Xét lũy kế TRƯỚC mã này: &lt; 80% → A; &lt; 95% → B; còn lại C</t>
        </r>
      </text>
    </comment>
    <comment ref="E27" authorId="0">
      <text>
        <r>
          <rPr>
            <sz val="10"/>
            <rFont val="Arial"/>
            <family val="2"/>
          </rPr>
          <t xml:space="preserve">Xét lũy kế TRƯỚC mã này: &lt; 80% → A; &lt; 95% → B; còn lại C</t>
        </r>
      </text>
    </comment>
    <comment ref="K5" authorId="0">
      <text>
        <r>
          <rPr>
            <sz val="10"/>
            <rFont val="Arial"/>
            <family val="2"/>
          </rPr>
          <t xml:space="preserve">ADI = số kỳ / số kỳ có nhu cầu</t>
        </r>
      </text>
    </comment>
    <comment ref="K6" authorId="0">
      <text>
        <r>
          <rPr>
            <sz val="10"/>
            <rFont val="Arial"/>
            <family val="2"/>
          </rPr>
          <t xml:space="preserve">ADI = số kỳ / số kỳ có nhu cầu</t>
        </r>
      </text>
    </comment>
    <comment ref="K7" authorId="0">
      <text>
        <r>
          <rPr>
            <sz val="10"/>
            <rFont val="Arial"/>
            <family val="2"/>
          </rPr>
          <t xml:space="preserve">ADI = số kỳ / số kỳ có nhu cầu</t>
        </r>
      </text>
    </comment>
    <comment ref="K8" authorId="0">
      <text>
        <r>
          <rPr>
            <sz val="10"/>
            <rFont val="Arial"/>
            <family val="2"/>
          </rPr>
          <t xml:space="preserve">ADI = số kỳ / số kỳ có nhu cầu</t>
        </r>
      </text>
    </comment>
    <comment ref="K9" authorId="0">
      <text>
        <r>
          <rPr>
            <sz val="10"/>
            <rFont val="Arial"/>
            <family val="2"/>
          </rPr>
          <t xml:space="preserve">ADI = số kỳ / số kỳ có nhu cầu</t>
        </r>
      </text>
    </comment>
    <comment ref="K10" authorId="0">
      <text>
        <r>
          <rPr>
            <sz val="10"/>
            <rFont val="Arial"/>
            <family val="2"/>
          </rPr>
          <t xml:space="preserve">ADI = số kỳ / số kỳ có nhu cầu</t>
        </r>
      </text>
    </comment>
    <comment ref="K11" authorId="0">
      <text>
        <r>
          <rPr>
            <sz val="10"/>
            <rFont val="Arial"/>
            <family val="2"/>
          </rPr>
          <t xml:space="preserve">ADI = số kỳ / số kỳ có nhu cầu</t>
        </r>
      </text>
    </comment>
    <comment ref="K12" authorId="0">
      <text>
        <r>
          <rPr>
            <sz val="10"/>
            <rFont val="Arial"/>
            <family val="2"/>
          </rPr>
          <t xml:space="preserve">ADI = số kỳ / số kỳ có nhu cầu</t>
        </r>
      </text>
    </comment>
    <comment ref="K13" authorId="0">
      <text>
        <r>
          <rPr>
            <sz val="10"/>
            <rFont val="Arial"/>
            <family val="2"/>
          </rPr>
          <t xml:space="preserve">ADI = số kỳ / số kỳ có nhu cầu</t>
        </r>
      </text>
    </comment>
    <comment ref="K14" authorId="0">
      <text>
        <r>
          <rPr>
            <sz val="10"/>
            <rFont val="Arial"/>
            <family val="2"/>
          </rPr>
          <t xml:space="preserve">ADI = số kỳ / số kỳ có nhu cầu</t>
        </r>
      </text>
    </comment>
    <comment ref="K15" authorId="0">
      <text>
        <r>
          <rPr>
            <sz val="10"/>
            <rFont val="Arial"/>
            <family val="2"/>
          </rPr>
          <t xml:space="preserve">ADI = số kỳ / số kỳ có nhu cầu</t>
        </r>
      </text>
    </comment>
    <comment ref="K16" authorId="0">
      <text>
        <r>
          <rPr>
            <sz val="10"/>
            <rFont val="Arial"/>
            <family val="2"/>
          </rPr>
          <t xml:space="preserve">ADI = số kỳ / số kỳ có nhu cầu</t>
        </r>
      </text>
    </comment>
    <comment ref="K17" authorId="0">
      <text>
        <r>
          <rPr>
            <sz val="10"/>
            <rFont val="Arial"/>
            <family val="2"/>
          </rPr>
          <t xml:space="preserve">ADI = số kỳ / số kỳ có nhu cầu</t>
        </r>
      </text>
    </comment>
    <comment ref="K18" authorId="0">
      <text>
        <r>
          <rPr>
            <sz val="10"/>
            <rFont val="Arial"/>
            <family val="2"/>
          </rPr>
          <t xml:space="preserve">ADI = số kỳ / số kỳ có nhu cầu</t>
        </r>
      </text>
    </comment>
    <comment ref="K19" authorId="0">
      <text>
        <r>
          <rPr>
            <sz val="10"/>
            <rFont val="Arial"/>
            <family val="2"/>
          </rPr>
          <t xml:space="preserve">ADI = số kỳ / số kỳ có nhu cầu</t>
        </r>
      </text>
    </comment>
    <comment ref="K20" authorId="0">
      <text>
        <r>
          <rPr>
            <sz val="10"/>
            <rFont val="Arial"/>
            <family val="2"/>
          </rPr>
          <t xml:space="preserve">ADI = số kỳ / số kỳ có nhu cầu</t>
        </r>
      </text>
    </comment>
    <comment ref="K21" authorId="0">
      <text>
        <r>
          <rPr>
            <sz val="10"/>
            <rFont val="Arial"/>
            <family val="2"/>
          </rPr>
          <t xml:space="preserve">ADI = số kỳ / số kỳ có nhu cầu</t>
        </r>
      </text>
    </comment>
    <comment ref="K22" authorId="0">
      <text>
        <r>
          <rPr>
            <sz val="10"/>
            <rFont val="Arial"/>
            <family val="2"/>
          </rPr>
          <t xml:space="preserve">ADI = số kỳ / số kỳ có nhu cầu</t>
        </r>
      </text>
    </comment>
    <comment ref="K23" authorId="0">
      <text>
        <r>
          <rPr>
            <sz val="10"/>
            <rFont val="Arial"/>
            <family val="2"/>
          </rPr>
          <t xml:space="preserve">ADI = số kỳ / số kỳ có nhu cầu</t>
        </r>
      </text>
    </comment>
    <comment ref="K24" authorId="0">
      <text>
        <r>
          <rPr>
            <sz val="10"/>
            <rFont val="Arial"/>
            <family val="2"/>
          </rPr>
          <t xml:space="preserve">ADI = số kỳ / số kỳ có nhu cầu</t>
        </r>
      </text>
    </comment>
    <comment ref="K25" authorId="0">
      <text>
        <r>
          <rPr>
            <sz val="10"/>
            <rFont val="Arial"/>
            <family val="2"/>
          </rPr>
          <t xml:space="preserve">ADI = số kỳ / số kỳ có nhu cầu</t>
        </r>
      </text>
    </comment>
    <comment ref="K26" authorId="0">
      <text>
        <r>
          <rPr>
            <sz val="10"/>
            <rFont val="Arial"/>
            <family val="2"/>
          </rPr>
          <t xml:space="preserve">ADI = số kỳ / số kỳ có nhu cầu</t>
        </r>
      </text>
    </comment>
    <comment ref="K27" authorId="0">
      <text>
        <r>
          <rPr>
            <sz val="10"/>
            <rFont val="Arial"/>
            <family val="2"/>
          </rPr>
          <t xml:space="preserve">ADI = số kỳ / số kỳ có nhu cầu</t>
        </r>
      </text>
    </comment>
    <comment ref="L5" authorId="0">
      <text>
        <r>
          <rPr>
            <sz val="10"/>
            <rFont val="Arial"/>
            <family val="2"/>
          </rPr>
          <t xml:space="preserve">CV² của cỡ đơn (chỉ tháng &gt; 0)</t>
        </r>
      </text>
    </comment>
    <comment ref="L6" authorId="0">
      <text>
        <r>
          <rPr>
            <sz val="10"/>
            <rFont val="Arial"/>
            <family val="2"/>
          </rPr>
          <t xml:space="preserve">CV² của cỡ đơn (chỉ tháng &gt; 0)</t>
        </r>
      </text>
    </comment>
    <comment ref="L7" authorId="0">
      <text>
        <r>
          <rPr>
            <sz val="10"/>
            <rFont val="Arial"/>
            <family val="2"/>
          </rPr>
          <t xml:space="preserve">CV² của cỡ đơn (chỉ tháng &gt; 0)</t>
        </r>
      </text>
    </comment>
    <comment ref="L8" authorId="0">
      <text>
        <r>
          <rPr>
            <sz val="10"/>
            <rFont val="Arial"/>
            <family val="2"/>
          </rPr>
          <t xml:space="preserve">CV² của cỡ đơn (chỉ tháng &gt; 0)</t>
        </r>
      </text>
    </comment>
    <comment ref="L9" authorId="0">
      <text>
        <r>
          <rPr>
            <sz val="10"/>
            <rFont val="Arial"/>
            <family val="2"/>
          </rPr>
          <t xml:space="preserve">CV² của cỡ đơn (chỉ tháng &gt; 0)</t>
        </r>
      </text>
    </comment>
    <comment ref="L10" authorId="0">
      <text>
        <r>
          <rPr>
            <sz val="10"/>
            <rFont val="Arial"/>
            <family val="2"/>
          </rPr>
          <t xml:space="preserve">CV² của cỡ đơn (chỉ tháng &gt; 0)</t>
        </r>
      </text>
    </comment>
    <comment ref="L11" authorId="0">
      <text>
        <r>
          <rPr>
            <sz val="10"/>
            <rFont val="Arial"/>
            <family val="2"/>
          </rPr>
          <t xml:space="preserve">CV² của cỡ đơn (chỉ tháng &gt; 0)</t>
        </r>
      </text>
    </comment>
    <comment ref="L12" authorId="0">
      <text>
        <r>
          <rPr>
            <sz val="10"/>
            <rFont val="Arial"/>
            <family val="2"/>
          </rPr>
          <t xml:space="preserve">CV² của cỡ đơn (chỉ tháng &gt; 0)</t>
        </r>
      </text>
    </comment>
    <comment ref="L13" authorId="0">
      <text>
        <r>
          <rPr>
            <sz val="10"/>
            <rFont val="Arial"/>
            <family val="2"/>
          </rPr>
          <t xml:space="preserve">CV² của cỡ đơn (chỉ tháng &gt; 0)</t>
        </r>
      </text>
    </comment>
    <comment ref="L14" authorId="0">
      <text>
        <r>
          <rPr>
            <sz val="10"/>
            <rFont val="Arial"/>
            <family val="2"/>
          </rPr>
          <t xml:space="preserve">CV² của cỡ đơn (chỉ tháng &gt; 0)</t>
        </r>
      </text>
    </comment>
    <comment ref="L15" authorId="0">
      <text>
        <r>
          <rPr>
            <sz val="10"/>
            <rFont val="Arial"/>
            <family val="2"/>
          </rPr>
          <t xml:space="preserve">CV² của cỡ đơn (chỉ tháng &gt; 0)</t>
        </r>
      </text>
    </comment>
    <comment ref="L16" authorId="0">
      <text>
        <r>
          <rPr>
            <sz val="10"/>
            <rFont val="Arial"/>
            <family val="2"/>
          </rPr>
          <t xml:space="preserve">CV² của cỡ đơn (chỉ tháng &gt; 0)</t>
        </r>
      </text>
    </comment>
    <comment ref="L17" authorId="0">
      <text>
        <r>
          <rPr>
            <sz val="10"/>
            <rFont val="Arial"/>
            <family val="2"/>
          </rPr>
          <t xml:space="preserve">CV² của cỡ đơn (chỉ tháng &gt; 0)</t>
        </r>
      </text>
    </comment>
    <comment ref="L18" authorId="0">
      <text>
        <r>
          <rPr>
            <sz val="10"/>
            <rFont val="Arial"/>
            <family val="2"/>
          </rPr>
          <t xml:space="preserve">CV² của cỡ đơn (chỉ tháng &gt; 0)</t>
        </r>
      </text>
    </comment>
    <comment ref="L19" authorId="0">
      <text>
        <r>
          <rPr>
            <sz val="10"/>
            <rFont val="Arial"/>
            <family val="2"/>
          </rPr>
          <t xml:space="preserve">CV² của cỡ đơn (chỉ tháng &gt; 0)</t>
        </r>
      </text>
    </comment>
    <comment ref="L20" authorId="0">
      <text>
        <r>
          <rPr>
            <sz val="10"/>
            <rFont val="Arial"/>
            <family val="2"/>
          </rPr>
          <t xml:space="preserve">CV² của cỡ đơn (chỉ tháng &gt; 0)</t>
        </r>
      </text>
    </comment>
    <comment ref="L21" authorId="0">
      <text>
        <r>
          <rPr>
            <sz val="10"/>
            <rFont val="Arial"/>
            <family val="2"/>
          </rPr>
          <t xml:space="preserve">CV² của cỡ đơn (chỉ tháng &gt; 0)</t>
        </r>
      </text>
    </comment>
    <comment ref="L22" authorId="0">
      <text>
        <r>
          <rPr>
            <sz val="10"/>
            <rFont val="Arial"/>
            <family val="2"/>
          </rPr>
          <t xml:space="preserve">CV² của cỡ đơn (chỉ tháng &gt; 0)</t>
        </r>
      </text>
    </comment>
    <comment ref="L23" authorId="0">
      <text>
        <r>
          <rPr>
            <sz val="10"/>
            <rFont val="Arial"/>
            <family val="2"/>
          </rPr>
          <t xml:space="preserve">CV² của cỡ đơn (chỉ tháng &gt; 0)</t>
        </r>
      </text>
    </comment>
    <comment ref="L24" authorId="0">
      <text>
        <r>
          <rPr>
            <sz val="10"/>
            <rFont val="Arial"/>
            <family val="2"/>
          </rPr>
          <t xml:space="preserve">CV² của cỡ đơn (chỉ tháng &gt; 0)</t>
        </r>
      </text>
    </comment>
    <comment ref="L25" authorId="0">
      <text>
        <r>
          <rPr>
            <sz val="10"/>
            <rFont val="Arial"/>
            <family val="2"/>
          </rPr>
          <t xml:space="preserve">CV² của cỡ đơn (chỉ tháng &gt; 0)</t>
        </r>
      </text>
    </comment>
    <comment ref="L26" authorId="0">
      <text>
        <r>
          <rPr>
            <sz val="10"/>
            <rFont val="Arial"/>
            <family val="2"/>
          </rPr>
          <t xml:space="preserve">CV² của cỡ đơn (chỉ tháng &gt; 0)</t>
        </r>
      </text>
    </comment>
    <comment ref="L27" authorId="0">
      <text>
        <r>
          <rPr>
            <sz val="10"/>
            <rFont val="Arial"/>
            <family val="2"/>
          </rPr>
          <t xml:space="preserve">CV² của cỡ đơn (chỉ tháng &gt; 0)</t>
        </r>
      </text>
    </comment>
    <comment ref="O5" authorId="0">
      <text>
        <r>
          <rPr>
            <sz val="10"/>
            <rFont val="Arial"/>
            <family val="2"/>
          </rPr>
          <t xml:space="preserve">Nếu ADI ≥ 1,32 → nhóm rời rạc; ngược lại tra ma trận theo nhóm (khử MV)</t>
        </r>
      </text>
    </comment>
    <comment ref="O6" authorId="0">
      <text>
        <r>
          <rPr>
            <sz val="10"/>
            <rFont val="Arial"/>
            <family val="2"/>
          </rPr>
          <t xml:space="preserve">Nếu ADI ≥ 1,32 → nhóm rời rạc; ngược lại tra ma trận theo nhóm (khử MV)</t>
        </r>
      </text>
    </comment>
    <comment ref="O7" authorId="0">
      <text>
        <r>
          <rPr>
            <sz val="10"/>
            <rFont val="Arial"/>
            <family val="2"/>
          </rPr>
          <t xml:space="preserve">Nếu ADI ≥ 1,32 → nhóm rời rạc; ngược lại tra ma trận theo nhóm (khử MV)</t>
        </r>
      </text>
    </comment>
    <comment ref="O8" authorId="0">
      <text>
        <r>
          <rPr>
            <sz val="10"/>
            <rFont val="Arial"/>
            <family val="2"/>
          </rPr>
          <t xml:space="preserve">Nếu ADI ≥ 1,32 → nhóm rời rạc; ngược lại tra ma trận theo nhóm (khử MV)</t>
        </r>
      </text>
    </comment>
    <comment ref="O9" authorId="0">
      <text>
        <r>
          <rPr>
            <sz val="10"/>
            <rFont val="Arial"/>
            <family val="2"/>
          </rPr>
          <t xml:space="preserve">Nếu ADI ≥ 1,32 → nhóm rời rạc; ngược lại tra ma trận theo nhóm (khử MV)</t>
        </r>
      </text>
    </comment>
    <comment ref="O10" authorId="0">
      <text>
        <r>
          <rPr>
            <sz val="10"/>
            <rFont val="Arial"/>
            <family val="2"/>
          </rPr>
          <t xml:space="preserve">Nếu ADI ≥ 1,32 → nhóm rời rạc; ngược lại tra ma trận theo nhóm (khử MV)</t>
        </r>
      </text>
    </comment>
    <comment ref="O11" authorId="0">
      <text>
        <r>
          <rPr>
            <sz val="10"/>
            <rFont val="Arial"/>
            <family val="2"/>
          </rPr>
          <t xml:space="preserve">Nếu ADI ≥ 1,32 → nhóm rời rạc; ngược lại tra ma trận theo nhóm (khử MV)</t>
        </r>
      </text>
    </comment>
    <comment ref="O12" authorId="0">
      <text>
        <r>
          <rPr>
            <sz val="10"/>
            <rFont val="Arial"/>
            <family val="2"/>
          </rPr>
          <t xml:space="preserve">Nếu ADI ≥ 1,32 → nhóm rời rạc; ngược lại tra ma trận theo nhóm (khử MV)</t>
        </r>
      </text>
    </comment>
    <comment ref="O13" authorId="0">
      <text>
        <r>
          <rPr>
            <sz val="10"/>
            <rFont val="Arial"/>
            <family val="2"/>
          </rPr>
          <t xml:space="preserve">Nếu ADI ≥ 1,32 → nhóm rời rạc; ngược lại tra ma trận theo nhóm (khử MV)</t>
        </r>
      </text>
    </comment>
    <comment ref="O14" authorId="0">
      <text>
        <r>
          <rPr>
            <sz val="10"/>
            <rFont val="Arial"/>
            <family val="2"/>
          </rPr>
          <t xml:space="preserve">Nếu ADI ≥ 1,32 → nhóm rời rạc; ngược lại tra ma trận theo nhóm (khử MV)</t>
        </r>
      </text>
    </comment>
    <comment ref="O15" authorId="0">
      <text>
        <r>
          <rPr>
            <sz val="10"/>
            <rFont val="Arial"/>
            <family val="2"/>
          </rPr>
          <t xml:space="preserve">Nếu ADI ≥ 1,32 → nhóm rời rạc; ngược lại tra ma trận theo nhóm (khử MV)</t>
        </r>
      </text>
    </comment>
    <comment ref="O16" authorId="0">
      <text>
        <r>
          <rPr>
            <sz val="10"/>
            <rFont val="Arial"/>
            <family val="2"/>
          </rPr>
          <t xml:space="preserve">Nếu ADI ≥ 1,32 → nhóm rời rạc; ngược lại tra ma trận theo nhóm (khử MV)</t>
        </r>
      </text>
    </comment>
    <comment ref="O17" authorId="0">
      <text>
        <r>
          <rPr>
            <sz val="10"/>
            <rFont val="Arial"/>
            <family val="2"/>
          </rPr>
          <t xml:space="preserve">Nếu ADI ≥ 1,32 → nhóm rời rạc; ngược lại tra ma trận theo nhóm (khử MV)</t>
        </r>
      </text>
    </comment>
    <comment ref="O18" authorId="0">
      <text>
        <r>
          <rPr>
            <sz val="10"/>
            <rFont val="Arial"/>
            <family val="2"/>
          </rPr>
          <t xml:space="preserve">Nếu ADI ≥ 1,32 → nhóm rời rạc; ngược lại tra ma trận theo nhóm (khử MV)</t>
        </r>
      </text>
    </comment>
    <comment ref="O19" authorId="0">
      <text>
        <r>
          <rPr>
            <sz val="10"/>
            <rFont val="Arial"/>
            <family val="2"/>
          </rPr>
          <t xml:space="preserve">Nếu ADI ≥ 1,32 → nhóm rời rạc; ngược lại tra ma trận theo nhóm (khử MV)</t>
        </r>
      </text>
    </comment>
    <comment ref="O20" authorId="0">
      <text>
        <r>
          <rPr>
            <sz val="10"/>
            <rFont val="Arial"/>
            <family val="2"/>
          </rPr>
          <t xml:space="preserve">Nếu ADI ≥ 1,32 → nhóm rời rạc; ngược lại tra ma trận theo nhóm (khử MV)</t>
        </r>
      </text>
    </comment>
    <comment ref="O21" authorId="0">
      <text>
        <r>
          <rPr>
            <sz val="10"/>
            <rFont val="Arial"/>
            <family val="2"/>
          </rPr>
          <t xml:space="preserve">Nếu ADI ≥ 1,32 → nhóm rời rạc; ngược lại tra ma trận theo nhóm (khử MV)</t>
        </r>
      </text>
    </comment>
    <comment ref="O22" authorId="0">
      <text>
        <r>
          <rPr>
            <sz val="10"/>
            <rFont val="Arial"/>
            <family val="2"/>
          </rPr>
          <t xml:space="preserve">Nếu ADI ≥ 1,32 → nhóm rời rạc; ngược lại tra ma trận theo nhóm (khử MV)</t>
        </r>
      </text>
    </comment>
    <comment ref="O23" authorId="0">
      <text>
        <r>
          <rPr>
            <sz val="10"/>
            <rFont val="Arial"/>
            <family val="2"/>
          </rPr>
          <t xml:space="preserve">Nếu ADI ≥ 1,32 → nhóm rời rạc; ngược lại tra ma trận theo nhóm (khử MV)</t>
        </r>
      </text>
    </comment>
    <comment ref="O24" authorId="0">
      <text>
        <r>
          <rPr>
            <sz val="10"/>
            <rFont val="Arial"/>
            <family val="2"/>
          </rPr>
          <t xml:space="preserve">Nếu ADI ≥ 1,32 → nhóm rời rạc; ngược lại tra ma trận theo nhóm (khử MV)</t>
        </r>
      </text>
    </comment>
    <comment ref="O25" authorId="0">
      <text>
        <r>
          <rPr>
            <sz val="10"/>
            <rFont val="Arial"/>
            <family val="2"/>
          </rPr>
          <t xml:space="preserve">Nếu ADI ≥ 1,32 → nhóm rời rạc; ngược lại tra ma trận theo nhóm (khử MV)</t>
        </r>
      </text>
    </comment>
    <comment ref="O26" authorId="0">
      <text>
        <r>
          <rPr>
            <sz val="10"/>
            <rFont val="Arial"/>
            <family val="2"/>
          </rPr>
          <t xml:space="preserve">Nếu ADI ≥ 1,32 → nhóm rời rạc; ngược lại tra ma trận theo nhóm (khử MV)</t>
        </r>
      </text>
    </comment>
    <comment ref="O27" authorId="0">
      <text>
        <r>
          <rPr>
            <sz val="10"/>
            <rFont val="Arial"/>
            <family val="2"/>
          </rPr>
          <t xml:space="preserve">Nếu ADI ≥ 1,32 → nhóm rời rạc; ngược lại tra ma trận theo nhóm (khử MV)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7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8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9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10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11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12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13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14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15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16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17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18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19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20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21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22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23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24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25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26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27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28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29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30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31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32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33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34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35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36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37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38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39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D40" authorId="0">
      <text>
        <r>
          <rPr>
            <sz val="10"/>
            <rFont val="Arial"/>
            <family val="2"/>
          </rPr>
          <t xml:space="preserve">q = 1 nếu tháng trước có đơn, ngược lại q trước + 1</t>
        </r>
      </text>
    </comment>
    <comment ref="E6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7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8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9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10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11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12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13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14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15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16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17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18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19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20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21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22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23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24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25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26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27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28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29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30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31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32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33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34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35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36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37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38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39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E40" authorId="0">
      <text>
        <r>
          <rPr>
            <sz val="10"/>
            <rFont val="Arial"/>
            <family val="2"/>
          </rPr>
          <t xml:space="preserve">Chỉ cập nhật z khi có đơn</t>
        </r>
      </text>
    </comment>
    <comment ref="F6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7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8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9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10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11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12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13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14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15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16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17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18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19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20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21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22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23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24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25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26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27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28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29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30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31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32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33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34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35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36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37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38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39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F40" authorId="0">
      <text>
        <r>
          <rPr>
            <sz val="10"/>
            <rFont val="Arial"/>
            <family val="2"/>
          </rPr>
          <t xml:space="preserve">Chỉ cập nhật p khi có đơn (dùng q)</t>
        </r>
      </text>
    </comment>
    <comment ref="G6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7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8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9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10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11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12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13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14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15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16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17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18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19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20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21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22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23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24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25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26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27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28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29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30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31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32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33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34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35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36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37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38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39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  <comment ref="G40" authorId="0">
      <text>
        <r>
          <rPr>
            <sz val="10"/>
            <rFont val="Arial"/>
            <family val="2"/>
          </rPr>
          <t xml:space="preserve">Dự báo tháng t = z/p của tháng t−1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Dự báo tổng × tỷ trọng</t>
        </r>
      </text>
    </comment>
    <comment ref="G6" authorId="0">
      <text>
        <r>
          <rPr>
            <sz val="10"/>
            <rFont val="Arial"/>
            <family val="2"/>
          </rPr>
          <t xml:space="preserve">Dự báo tổng × tỷ trọng</t>
        </r>
      </text>
    </comment>
    <comment ref="G7" authorId="0">
      <text>
        <r>
          <rPr>
            <sz val="10"/>
            <rFont val="Arial"/>
            <family val="2"/>
          </rPr>
          <t xml:space="preserve">Dự báo tổng × tỷ trọng</t>
        </r>
      </text>
    </comment>
    <comment ref="G8" authorId="0">
      <text>
        <r>
          <rPr>
            <sz val="10"/>
            <rFont val="Arial"/>
            <family val="2"/>
          </rPr>
          <t xml:space="preserve">Dự báo tổng × tỷ trọng</t>
        </r>
      </text>
    </comment>
    <comment ref="G9" authorId="0">
      <text>
        <r>
          <rPr>
            <sz val="10"/>
            <rFont val="Arial"/>
            <family val="2"/>
          </rPr>
          <t xml:space="preserve">Dự báo tổng × tỷ trọng</t>
        </r>
      </text>
    </comment>
    <comment ref="G10" authorId="0">
      <text>
        <r>
          <rPr>
            <sz val="10"/>
            <rFont val="Arial"/>
            <family val="2"/>
          </rPr>
          <t xml:space="preserve">Dự báo tổng × tỷ trọng</t>
        </r>
      </text>
    </comment>
    <comment ref="H5" authorId="0">
      <text>
        <r>
          <rPr>
            <sz val="10"/>
            <rFont val="Arial"/>
            <family val="2"/>
          </rPr>
          <t xml:space="preserve">Dự báo tổng × tỷ trọng</t>
        </r>
      </text>
    </comment>
    <comment ref="H6" authorId="0">
      <text>
        <r>
          <rPr>
            <sz val="10"/>
            <rFont val="Arial"/>
            <family val="2"/>
          </rPr>
          <t xml:space="preserve">Dự báo tổng × tỷ trọng</t>
        </r>
      </text>
    </comment>
    <comment ref="H7" authorId="0">
      <text>
        <r>
          <rPr>
            <sz val="10"/>
            <rFont val="Arial"/>
            <family val="2"/>
          </rPr>
          <t xml:space="preserve">Dự báo tổng × tỷ trọng</t>
        </r>
      </text>
    </comment>
    <comment ref="H8" authorId="0">
      <text>
        <r>
          <rPr>
            <sz val="10"/>
            <rFont val="Arial"/>
            <family val="2"/>
          </rPr>
          <t xml:space="preserve">Dự báo tổng × tỷ trọng</t>
        </r>
      </text>
    </comment>
    <comment ref="H9" authorId="0">
      <text>
        <r>
          <rPr>
            <sz val="10"/>
            <rFont val="Arial"/>
            <family val="2"/>
          </rPr>
          <t xml:space="preserve">Dự báo tổng × tỷ trọng</t>
        </r>
      </text>
    </comment>
    <comment ref="H10" authorId="0">
      <text>
        <r>
          <rPr>
            <sz val="10"/>
            <rFont val="Arial"/>
            <family val="2"/>
          </rPr>
          <t xml:space="preserve">Dự báo tổng × tỷ trọng</t>
        </r>
      </text>
    </comment>
    <comment ref="I5" authorId="0">
      <text>
        <r>
          <rPr>
            <sz val="10"/>
            <rFont val="Arial"/>
            <family val="2"/>
          </rPr>
          <t xml:space="preserve">Dự báo tổng × tỷ trọng</t>
        </r>
      </text>
    </comment>
    <comment ref="I6" authorId="0">
      <text>
        <r>
          <rPr>
            <sz val="10"/>
            <rFont val="Arial"/>
            <family val="2"/>
          </rPr>
          <t xml:space="preserve">Dự báo tổng × tỷ trọng</t>
        </r>
      </text>
    </comment>
    <comment ref="I7" authorId="0">
      <text>
        <r>
          <rPr>
            <sz val="10"/>
            <rFont val="Arial"/>
            <family val="2"/>
          </rPr>
          <t xml:space="preserve">Dự báo tổng × tỷ trọng</t>
        </r>
      </text>
    </comment>
    <comment ref="I8" authorId="0">
      <text>
        <r>
          <rPr>
            <sz val="10"/>
            <rFont val="Arial"/>
            <family val="2"/>
          </rPr>
          <t xml:space="preserve">Dự báo tổng × tỷ trọng</t>
        </r>
      </text>
    </comment>
    <comment ref="I9" authorId="0">
      <text>
        <r>
          <rPr>
            <sz val="10"/>
            <rFont val="Arial"/>
            <family val="2"/>
          </rPr>
          <t xml:space="preserve">Dự báo tổng × tỷ trọng</t>
        </r>
      </text>
    </comment>
    <comment ref="I10" authorId="0">
      <text>
        <r>
          <rPr>
            <sz val="10"/>
            <rFont val="Arial"/>
            <family val="2"/>
          </rPr>
          <t xml:space="preserve">Dự báo tổng × tỷ trọng</t>
        </r>
      </text>
    </comment>
    <comment ref="J5" authorId="0">
      <text>
        <r>
          <rPr>
            <sz val="10"/>
            <rFont val="Arial"/>
            <family val="2"/>
          </rPr>
          <t xml:space="preserve">Dự báo tổng × tỷ trọng</t>
        </r>
      </text>
    </comment>
    <comment ref="J6" authorId="0">
      <text>
        <r>
          <rPr>
            <sz val="10"/>
            <rFont val="Arial"/>
            <family val="2"/>
          </rPr>
          <t xml:space="preserve">Dự báo tổng × tỷ trọng</t>
        </r>
      </text>
    </comment>
    <comment ref="J7" authorId="0">
      <text>
        <r>
          <rPr>
            <sz val="10"/>
            <rFont val="Arial"/>
            <family val="2"/>
          </rPr>
          <t xml:space="preserve">Dự báo tổng × tỷ trọng</t>
        </r>
      </text>
    </comment>
    <comment ref="J8" authorId="0">
      <text>
        <r>
          <rPr>
            <sz val="10"/>
            <rFont val="Arial"/>
            <family val="2"/>
          </rPr>
          <t xml:space="preserve">Dự báo tổng × tỷ trọng</t>
        </r>
      </text>
    </comment>
    <comment ref="J9" authorId="0">
      <text>
        <r>
          <rPr>
            <sz val="10"/>
            <rFont val="Arial"/>
            <family val="2"/>
          </rPr>
          <t xml:space="preserve">Dự báo tổng × tỷ trọng</t>
        </r>
      </text>
    </comment>
    <comment ref="J10" authorId="0">
      <text>
        <r>
          <rPr>
            <sz val="10"/>
            <rFont val="Arial"/>
            <family val="2"/>
          </rPr>
          <t xml:space="preserve">Dự báo tổng × tỷ trọng</t>
        </r>
      </text>
    </comment>
  </commentList>
</comments>
</file>

<file path=xl/sharedStrings.xml><?xml version="1.0" encoding="utf-8"?>
<sst xmlns="http://schemas.openxmlformats.org/spreadsheetml/2006/main" count="300" uniqueCount="240">
  <si>
    <t xml:space="preserve">BUỔI 7 · CHỌN MÔ HÌNH THEO NHÓM SẢN PHẨM</t>
  </si>
  <si>
    <t xml:space="preserve">ERX · Demand Planning &amp; Forecasting in Practice · BẢN HỌC VIÊN · Thư Nguyễn · thu.minh090997@gmail.com</t>
  </si>
  <si>
    <t xml:space="preserve">Mục tiêu</t>
  </si>
  <si>
    <t xml:space="preserve">•</t>
  </si>
  <si>
    <t xml:space="preserve">Phân nhóm 24 SKU theo ABC (giá trị 12 tháng) và XYZ (hệ số biến thiên).</t>
  </si>
  <si>
    <t xml:space="preserve">Nhận diện hình dạng nhu cầu (ADI, CV²) để tìm mã rời rạc/gộp lô.</t>
  </si>
  <si>
    <t xml:space="preserve">Lập ma trận phương pháp cho cả danh mục; dựng Croston/SBA cho mã rời rạc.</t>
  </si>
  <si>
    <t xml:space="preserve">So top-down và bottom-up; khởi động đề xuất dự án cuối khóa.</t>
  </si>
  <si>
    <t xml:space="preserve">Nhiệm vụ</t>
  </si>
  <si>
    <t xml:space="preserve">Sheet</t>
  </si>
  <si>
    <t xml:space="preserve">Việc cần làm</t>
  </si>
  <si>
    <t xml:space="preserve">Thời lượng</t>
  </si>
  <si>
    <t xml:space="preserve">Data_12T</t>
  </si>
  <si>
    <t xml:space="preserve">Nhu cầu 12 tháng gần nhất (10/2025–09/2026) cộng 2 kênh cho 24 SKU, giá bán. Đã sắp theo giá trị giảm dần.</t>
  </si>
  <si>
    <t xml:space="preserve">2'</t>
  </si>
  <si>
    <t xml:space="preserve">Bai1_ABC_XYZ</t>
  </si>
  <si>
    <t xml:space="preserve">Giá trị, tỷ trọng lũy kế, ABC; CV, XYZ; %tháng = 0, ADI, CV²; nhóm phân khúc và phương pháp đề xuất.</t>
  </si>
  <si>
    <t xml:space="preserve">25'</t>
  </si>
  <si>
    <t xml:space="preserve">Bai2_MaTran</t>
  </si>
  <si>
    <t xml:space="preserve">Đếm số SKU trong ma trận 3×3; thảo luận: AX tự động, AZ rà soát kỹ, CZ đơn giản/MTO.</t>
  </si>
  <si>
    <t xml:space="preserve">5'</t>
  </si>
  <si>
    <t xml:space="preserve">Bai3_Croston_H02</t>
  </si>
  <si>
    <t xml:space="preserve">Croston và SBA (α = 0,1) cho H02 Nước mắm can 20L; so MAE với SES và Naive trên 18 tháng cuối.</t>
  </si>
  <si>
    <t xml:space="preserve">15'</t>
  </si>
  <si>
    <t xml:space="preserve">Bai4_TopDown</t>
  </si>
  <si>
    <t xml:space="preserve">Nhóm mì kênh GT: chia dự báo tổng theo tỷ trọng 12 tháng (top-down) vs dự báo từng mã (bottom-up).</t>
  </si>
  <si>
    <t xml:space="preserve">8'</t>
  </si>
  <si>
    <t xml:space="preserve">Bai5_DeXuatCapstone</t>
  </si>
  <si>
    <t xml:space="preserve">Bắt đầu dự án: điền portfolio được giao, phân nhóm và phương pháp dự kiến (= Bài tập về nhà 7).</t>
  </si>
  <si>
    <t xml:space="preserve">Ở nhà</t>
  </si>
  <si>
    <t xml:space="preserve">Dữ liệu</t>
  </si>
  <si>
    <t xml:space="preserve">demand_clean (12 tháng cuối), sku_master (giá NPP). N06 đã ngừng bán nên loại khỏi danh mục.</t>
  </si>
  <si>
    <t xml:space="preserve">Quy ước màu</t>
  </si>
  <si>
    <t xml:space="preserve">Ví dụ 123</t>
  </si>
  <si>
    <t xml:space="preserve">Ô nhiệm vụ: học viên điền công thức (rê chuột xem gợi ý trong comment)</t>
  </si>
  <si>
    <t xml:space="preserve">Chữ xanh dương trên nền vàng: tham số/giả định có thể thay đổi</t>
  </si>
  <si>
    <t xml:space="preserve">Nền xanh nhạt: công thức đáp án (chỉ có ở bản đáp án)</t>
  </si>
  <si>
    <t xml:space="preserve">Chữ xanh lá: liên kết từ sheet khác</t>
  </si>
  <si>
    <t xml:space="preserve">Ghi chú</t>
  </si>
  <si>
    <t xml:space="preserve">Ngưỡng ABC 80%/95% và XYZ 0,15/0,35 (dữ liệu tháng, cấp SKU) là tham số — mỗi công ty tự hiệu chỉnh.</t>
  </si>
  <si>
    <t xml:space="preserve">CV thô của hàng mùa vụ (K02, B01) cao vì MÙA VỤ chứ không phải vì khó dự báo → cột 'CV đã khử mùa vụ' (tính sẵn bằng Python/Lab) cho kết quả công bằng hơn.</t>
  </si>
  <si>
    <t xml:space="preserve">Phần mềm APS chọn 'best-fit' thế nào? Luôn hỏi: chọn theo sai số trong mẫu hay ngoài mẫu? ở horizon nào?</t>
  </si>
  <si>
    <t xml:space="preserve">Quy ước toàn khóa: e = Actual − Forecast (e &gt; 0: dự báo thấp). Tiền: nghìn đồng nếu không ghi khác. Dữ liệu Mekong Bloom Foods là công ty GIẢ ĐỊNH phục vụ giảng dạy.</t>
  </si>
  <si>
    <t xml:space="preserve">Nhu cầu 12 tháng (cộng GT + MT)</t>
  </si>
  <si>
    <t xml:space="preserve">Đơn vị kế hoạch theo sku_master. Giá: nghìn đồng/đơn vị.</t>
  </si>
  <si>
    <t xml:space="preserve">SKU</t>
  </si>
  <si>
    <t xml:space="preserve">Tên</t>
  </si>
  <si>
    <t xml:space="preserve">Giá NPP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</si>
  <si>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</si>
  <si>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</si>
  <si>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</si>
  <si>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</si>
  <si>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</si>
  <si>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</si>
  <si>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</si>
  <si>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</si>
  <si>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</si>
  <si>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</si>
  <si>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</si>
  <si>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</si>
  <si>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S04</t>
  </si>
  <si>
    <t xml:space="preserve">Hạt Nêm Thịt Heo 400g</t>
  </si>
  <si>
    <t xml:space="preserve">N01</t>
  </si>
  <si>
    <t xml:space="preserve">Mì Tôm Chua Cay 75g</t>
  </si>
  <si>
    <t xml:space="preserve">S01</t>
  </si>
  <si>
    <t xml:space="preserve">Nước Mắm Cá Cơm 500ml</t>
  </si>
  <si>
    <t xml:space="preserve">B02</t>
  </si>
  <si>
    <t xml:space="preserve">Nước Tăng Lực Lon 250ml</t>
  </si>
  <si>
    <t xml:space="preserve">B01</t>
  </si>
  <si>
    <t xml:space="preserve">Trà Xanh Chanh 450ml</t>
  </si>
  <si>
    <t xml:space="preserve">N02</t>
  </si>
  <si>
    <t xml:space="preserve">Mì Bò Hầm 75g</t>
  </si>
  <si>
    <t xml:space="preserve">N03</t>
  </si>
  <si>
    <t xml:space="preserve">Mì Ly Hải Sản 65g</t>
  </si>
  <si>
    <t xml:space="preserve">S02</t>
  </si>
  <si>
    <t xml:space="preserve">Nước Tương Đậu Nành 500ml</t>
  </si>
  <si>
    <t xml:space="preserve">B03</t>
  </si>
  <si>
    <t xml:space="preserve">Sữa Đậu Nành Hộp 200ml</t>
  </si>
  <si>
    <t xml:space="preserve">S05</t>
  </si>
  <si>
    <t xml:space="preserve">Dầu Hào 350g</t>
  </si>
  <si>
    <t xml:space="preserve">K01</t>
  </si>
  <si>
    <t xml:space="preserve">Snack Khoai Tây 50g</t>
  </si>
  <si>
    <t xml:space="preserve">K02</t>
  </si>
  <si>
    <t xml:space="preserve">Bánh Quy Bơ Hộp Thiếc 400g</t>
  </si>
  <si>
    <t xml:space="preserve">S06</t>
  </si>
  <si>
    <t xml:space="preserve">Nước Mắm Cá Cơm 1L (S06+S06N)</t>
  </si>
  <si>
    <t xml:space="preserve">S03</t>
  </si>
  <si>
    <t xml:space="preserve">Tương Ớt Chua Ngọt 250g</t>
  </si>
  <si>
    <t xml:space="preserve">B04</t>
  </si>
  <si>
    <t xml:space="preserve">Nước Yến Lon 190ml</t>
  </si>
  <si>
    <t xml:space="preserve">B05</t>
  </si>
  <si>
    <t xml:space="preserve">Trà Sữa Chai 350ml</t>
  </si>
  <si>
    <t xml:space="preserve">N04</t>
  </si>
  <si>
    <t xml:space="preserve">Phở Bò Gói 70g</t>
  </si>
  <si>
    <t xml:space="preserve">N05</t>
  </si>
  <si>
    <t xml:space="preserve">Mì Trộn Xốt Cay 90g</t>
  </si>
  <si>
    <t xml:space="preserve">K03</t>
  </si>
  <si>
    <t xml:space="preserve">Kẹo Dẻo Trái Cây 100g</t>
  </si>
  <si>
    <t xml:space="preserve">H01</t>
  </si>
  <si>
    <t xml:space="preserve">Hạt Nêm Bao 10kg (HoReCa)</t>
  </si>
  <si>
    <t xml:space="preserve">K04</t>
  </si>
  <si>
    <t xml:space="preserve">Giỏ Quà Tết Cao Cấp</t>
  </si>
  <si>
    <t xml:space="preserve">H02</t>
  </si>
  <si>
    <t xml:space="preserve">Nước Mắm Can 20L (HoReCa)</t>
  </si>
  <si>
    <t xml:space="preserve">H03</t>
  </si>
  <si>
    <t xml:space="preserve">Bột Gia Vị OEM (lô 500 kg)</t>
  </si>
  <si>
    <t xml:space="preserve">Bài 1 · Phân nhóm danh mục 24 SKU</t>
  </si>
  <si>
    <t xml:space="preserve">Tham số ngưỡng ở cột Q–R. Cột 'CV khử mùa vụ' là giá trị tính sẵn (Python/Lab · trang Danh mục).</t>
  </si>
  <si>
    <t xml:space="preserve">Sản lượng 12T</t>
  </si>
  <si>
    <t xml:space="preserve">Giá trị (triệu đ)</t>
  </si>
  <si>
    <t xml:space="preserve">Lũy kế %</t>
  </si>
  <si>
    <t xml:space="preserve">ABC</t>
  </si>
  <si>
    <t xml:space="preserve">CV thô</t>
  </si>
  <si>
    <t xml:space="preserve">XYZ</t>
  </si>
  <si>
    <t xml:space="preserve">CV khử mùa vụ</t>
  </si>
  <si>
    <t xml:space="preserve">XYZ (khử MV)</t>
  </si>
  <si>
    <t xml:space="preserve">% tháng = 0</t>
  </si>
  <si>
    <t xml:space="preserve">ADI</t>
  </si>
  <si>
    <t xml:space="preserve">CV² cỡ đơn</t>
  </si>
  <si>
    <t xml:space="preserve">Nhóm</t>
  </si>
  <si>
    <t xml:space="preserve">Nhóm (khử MV)</t>
  </si>
  <si>
    <t xml:space="preserve">Phương pháp đề xuất</t>
  </si>
  <si>
    <t xml:space="preserve">Tham số</t>
  </si>
  <si>
    <t xml:space="preserve">Giá trị</t>
  </si>
  <si>
    <t xml:space="preserve">Ngưỡng A (lũy kế)</t>
  </si>
  <si>
    <t xml:space="preserve">Ngưỡng B (lũy kế)</t>
  </si>
  <si>
    <t xml:space="preserve">Ngưỡng X (CV ≤)</t>
  </si>
  <si>
    <t xml:space="preserve">Ngưỡng Y (CV ≤)</t>
  </si>
  <si>
    <t xml:space="preserve">Ma trận phương pháp</t>
  </si>
  <si>
    <t xml:space="preserve">Phương pháp</t>
  </si>
  <si>
    <t xml:space="preserve">AX</t>
  </si>
  <si>
    <t xml:space="preserve">Thống kê tự động (ETS/Holt-Winters), rà soát theo ngoại lệ</t>
  </si>
  <si>
    <t xml:space="preserve">AY</t>
  </si>
  <si>
    <t xml:space="preserve">Thống kê + rà soát hằng tháng với Sales/Marketing</t>
  </si>
  <si>
    <t xml:space="preserve">AZ</t>
  </si>
  <si>
    <t xml:space="preserve">Rà soát kỹ: hồi quy khuyến mãi/sự kiện + phán đoán có kiểm chứng (FVA)</t>
  </si>
  <si>
    <t xml:space="preserve">BX</t>
  </si>
  <si>
    <t xml:space="preserve">Thống kê tự động</t>
  </si>
  <si>
    <t xml:space="preserve">BY</t>
  </si>
  <si>
    <t xml:space="preserve">Thống kê tự động, rà soát theo ngoại lệ</t>
  </si>
  <si>
    <t xml:space="preserve">BZ</t>
  </si>
  <si>
    <t xml:space="preserve">Phương pháp đơn giản bền vững (SES/MA) + tồn kho an toàn cao hơn</t>
  </si>
  <si>
    <t xml:space="preserve">CX</t>
  </si>
  <si>
    <t xml:space="preserve">Tự động, chu kỳ rà soát thưa</t>
  </si>
  <si>
    <t xml:space="preserve">CY</t>
  </si>
  <si>
    <t xml:space="preserve">Phương pháp đơn giản (MA/SES)</t>
  </si>
  <si>
    <t xml:space="preserve">CZ</t>
  </si>
  <si>
    <t xml:space="preserve">Croston/SBA hoặc sản xuất theo đơn (MTO); không đầu tư thời gian dự báo chi tiết</t>
  </si>
  <si>
    <t xml:space="preserve">Câu hỏi: K02 (bánh quy hộp thiếc) là AZ theo CV thô nhưng AY sau khử mùa vụ — nên dành thời gian thế nào? H01–H03, K04: dự báo hay chuyển sang sản xuất theo đơn (MTO) với lead time cam kết?</t>
  </si>
  <si>
    <t xml:space="preserve">Bài 2 · Ma trận ABC × XYZ (đã khử mùa vụ): số SKU</t>
  </si>
  <si>
    <t xml:space="preserve">X</t>
  </si>
  <si>
    <t xml:space="preserve">Y</t>
  </si>
  <si>
    <t xml:space="preserve">Z</t>
  </si>
  <si>
    <t xml:space="preserve">Tổng</t>
  </si>
  <si>
    <t xml:space="preserve">A</t>
  </si>
  <si>
    <t xml:space="preserve">B</t>
  </si>
  <si>
    <t xml:space="preserve">C</t>
  </si>
  <si>
    <t xml:space="preserve">Diễn giải: góc AX = nhiều giá trị, dễ dự báo → tự động hóa, rà soát theo ngoại lệ. AZ = nhiều giá trị, khó → dồn thời gian họp/kiểm chứng. CZ = ít giá trị, khó → phương pháp đơn giản, tồn an toàn hoặc MTO.</t>
  </si>
  <si>
    <t xml:space="preserve">Bài 3 · Croston &amp; SBA cho H02 (Nước mắm can 20L, HoReCa)</t>
  </si>
  <si>
    <t xml:space="preserve">z = cỡ đơn làm mượt; p = khoảng cách làm mượt; q = số tháng kể từ lần có đơn trước. Dự báo Croston = z/p; SBA = (1−α/2)·z/p.</t>
  </si>
  <si>
    <t xml:space="preserve">Tháng</t>
  </si>
  <si>
    <t xml:space="preserve">t</t>
  </si>
  <si>
    <t xml:space="preserve">Nhu cầu</t>
  </si>
  <si>
    <t xml:space="preserve">q</t>
  </si>
  <si>
    <t xml:space="preserve">z</t>
  </si>
  <si>
    <t xml:space="preserve">p</t>
  </si>
  <si>
    <t xml:space="preserve">F Croston</t>
  </si>
  <si>
    <t xml:space="preserve">F SBA</t>
  </si>
  <si>
    <t xml:space="preserve">F SES</t>
  </si>
  <si>
    <t xml:space="preserve">F Naive</t>
  </si>
  <si>
    <t xml:space="preserve">2023-10</t>
  </si>
  <si>
    <t xml:space="preserve">α</t>
  </si>
  <si>
    <t xml:space="preserve">2023-11</t>
  </si>
  <si>
    <t xml:space="preserve">2023-12</t>
  </si>
  <si>
    <t xml:space="preserve">2024-01</t>
  </si>
  <si>
    <t xml:space="preserve">MAE 18 tháng cuối</t>
  </si>
  <si>
    <t xml:space="preserve">2024-02</t>
  </si>
  <si>
    <t xml:space="preserve">Croston</t>
  </si>
  <si>
    <t xml:space="preserve">2024-03</t>
  </si>
  <si>
    <t xml:space="preserve">SBA</t>
  </si>
  <si>
    <t xml:space="preserve">2024-04</t>
  </si>
  <si>
    <t xml:space="preserve">SES (L tháng trước)</t>
  </si>
  <si>
    <t xml:space="preserve">2024-05</t>
  </si>
  <si>
    <t xml:space="preserve">Naive</t>
  </si>
  <si>
    <t xml:space="preserve">2024-06</t>
  </si>
  <si>
    <t xml:space="preserve">TB thực tế/tháng</t>
  </si>
  <si>
    <t xml:space="preserve">2024-07</t>
  </si>
  <si>
    <t xml:space="preserve">2024-08</t>
  </si>
  <si>
    <t xml:space="preserve">Cột I là mức L của SES; dự báo SES tháng t = L tháng t−1.</t>
  </si>
  <si>
    <t xml:space="preserve">2024-09</t>
  </si>
  <si>
    <t xml:space="preserve">Đọc kết quả: dự báo ~15 can/tháng KHÔNG có nghĩa giữ 15 can là đủ — đơn đến từng lô 100–400 can.</t>
  </si>
  <si>
    <t xml:space="preserve">2024-10</t>
  </si>
  <si>
    <t xml:space="preserve">Với mã rời rạc, câu hỏi đúng là: giữ bao nhiêu để đạt mức phục vụ X% (Buổi 9)?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</si>
  <si>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</si>
  <si>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</si>
  <si>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</si>
  <si>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</si>
  <si>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</si>
  <si>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</si>
  <si>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</si>
  <si>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</si>
  <si>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</si>
  <si>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</si>
  <si>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</si>
  <si>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Bài 4 · Top-down vs bottom-up — nhóm mì kênh GT (6 tháng test)</t>
  </si>
  <si>
    <t xml:space="preserve">Dự báo tổng (SES trên tổng nhóm) và dự báo từng mã (Holt tắt dần) đã tính sẵn bằng Python. Nhiệm vụ: chia tổng theo tỷ trọng và so WMAPE.</t>
  </si>
  <si>
    <t xml:space="preserve">Dự báo tổng</t>
  </si>
  <si>
    <t xml:space="preserve">Thực tế N01</t>
  </si>
  <si>
    <t xml:space="preserve">Thực tế N02</t>
  </si>
  <si>
    <t xml:space="preserve">Thực tế N03</t>
  </si>
  <si>
    <t xml:space="preserve">Thực tế N04</t>
  </si>
  <si>
    <t xml:space="preserve">TD N01</t>
  </si>
  <si>
    <t xml:space="preserve">TD N02</t>
  </si>
  <si>
    <t xml:space="preserve">TD N03</t>
  </si>
  <si>
    <t xml:space="preserve">TD N04</t>
  </si>
  <si>
    <t xml:space="preserve">BU N01</t>
  </si>
  <si>
    <t xml:space="preserve">BU N02</t>
  </si>
  <si>
    <t xml:space="preserve">BU N03</t>
  </si>
  <si>
    <t xml:space="preserve">BU N04</t>
  </si>
  <si>
    <t xml:space="preserve">Tỷ trọng 12 tháng train cuối</t>
  </si>
  <si>
    <t xml:space="preserve">WMAPE</t>
  </si>
  <si>
    <t xml:space="preserve">Top-down</t>
  </si>
  <si>
    <t xml:space="preserve">Bottom-up</t>
  </si>
  <si>
    <t xml:space="preserve">Mã đang tăng (N03) và giảm (N04): tỷ trọng lịch sử đã cũ → top-down sai. Top-down hợp với mã ổn định, ít dữ liệu; middle-out (dự báo cấp nhóm–kênh rồi chia) là thỏa hiệp phổ biến.</t>
  </si>
  <si>
    <t xml:space="preserve">Bài 5 · Đề xuất dự án cuối khóa (nộp cùng Bài tập về nhà 7)</t>
  </si>
  <si>
    <t xml:space="preserve">Portfolio P1–P6 do giảng viên giao (hoặc dữ liệu công ty đã ẩn danh, được duyệt trước).</t>
  </si>
  <si>
    <t xml:space="preserve">Họ tên:</t>
  </si>
  <si>
    <t xml:space="preserve">Portfolio:</t>
  </si>
  <si>
    <t xml:space="preserve">Chuỗi (SKU|kênh)</t>
  </si>
  <si>
    <t xml:space="preserve">Nhóm ABC</t>
  </si>
  <si>
    <t xml:space="preserve">Nhóm XYZ</t>
  </si>
  <si>
    <t xml:space="preserve">Hình dạng (SBC)</t>
  </si>
  <si>
    <t xml:space="preserve">Vấn đề dữ liệu đã thấy</t>
  </si>
  <si>
    <t xml:space="preserve">Phương pháp dự kiến (≥ 2 ứng viên)</t>
  </si>
  <si>
    <t xml:space="preserve">Câu hỏi cần hỏi Sales/Marketing/Supply</t>
  </si>
  <si>
    <t xml:space="preserve">S01|GT</t>
  </si>
  <si>
    <t xml:space="preserve">Smooth</t>
  </si>
  <si>
    <t xml:space="preserve">Sự kiện tin đồn 06/2024; Tết dịch tháng</t>
  </si>
  <si>
    <t xml:space="preserve">Seasonal Naive (mốc), Holt-Winters nhân + điều chỉnh Tết</t>
  </si>
  <si>
    <t xml:space="preserve">Có chương trình Tết 2027 nào khác năm trước?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</si>
</sst>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0"/>
    <numFmt numFmtId="168" formatCode="0%"/>
    <numFmt numFmtId="169" formatCode="0"/>
    <numFmt numFmtId="170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421"/>
      <name val="Arial"/>
      <family val="0"/>
      <charset val="1"/>
    </font>
    <font>
      <i val="true"/>
      <sz val="9"/>
      <color rgb="FF76777B"/>
      <name val="Arial"/>
      <family val="0"/>
      <charset val="1"/>
    </font>
    <font>
      <b val="true"/>
      <sz val="11"/>
      <color rgb="FF01AE4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1AE42"/>
        <bgColor rgb="FF008080"/>
      </patternFill>
    </fill>
    <fill>
      <patternFill patternType="solid">
        <fgColor rgb="FFFFF2CC"/>
        <bgColor rgb="FFEAF7EF"/>
      </patternFill>
    </fill>
    <fill>
      <patternFill patternType="solid">
        <fgColor rgb="FFEAF7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0"/>
      </left>
      <right style="thin">
        <color rgb="FFD0D4D0"/>
      </right>
      <top style="thin">
        <color rgb="FFD0D4D0"/>
      </top>
      <bottom style="thin">
        <color rgb="FFD0D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77B"/>
      <rgbColor rgb="FF9999FF"/>
      <rgbColor rgb="FF993366"/>
      <rgbColor rgb="FFFFF2CC"/>
      <rgbColor rgb="FFEAF7EF"/>
      <rgbColor rgb="FF660066"/>
      <rgbColor rgb="FFFF8080"/>
      <rgbColor rgb="FF0066CC"/>
      <rgbColor rgb="FFD0D4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1AE42"/>
      <rgbColor rgb="FF003300"/>
      <rgbColor rgb="FF333300"/>
      <rgbColor rgb="FF993300"/>
      <rgbColor rgb="FF993366"/>
      <rgbColor rgb="FF333399"/>
      <rgbColor rgb="FF1F24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1076040</xdr:colOff>
      <xdr:row>0</xdr:row>
      <xdr:rowOff>361440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81880" y="0"/>
          <a:ext cx="1076040" cy="361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16"/>
  </cols>
  <sheetData>
    <row r="1" customFormat="false" ht="33.75" hidden="false" customHeight="true" outlineLevel="0" collapsed="false"/>
    <row r="3" customFormat="false" ht="19.7" hidden="false" customHeight="false" outlineLevel="0" collapsed="false">
      <c r="B3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  <c r="C7" s="5" t="s">
        <v>4</v>
      </c>
    </row>
    <row r="8" customFormat="false" ht="15" hidden="false" customHeight="false" outlineLevel="0" collapsed="false">
      <c r="B8" s="4" t="s">
        <v>3</v>
      </c>
      <c r="C8" s="5" t="s">
        <v>5</v>
      </c>
    </row>
    <row r="9" customFormat="false" ht="23.85" hidden="false" customHeight="false" outlineLevel="0" collapsed="false">
      <c r="B9" s="4" t="s">
        <v>3</v>
      </c>
      <c r="C9" s="5" t="s">
        <v>6</v>
      </c>
    </row>
    <row r="10" customFormat="false" ht="15" hidden="false" customHeight="false" outlineLevel="0" collapsed="false">
      <c r="B10" s="4" t="s">
        <v>3</v>
      </c>
      <c r="C10" s="5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6" t="s">
        <v>9</v>
      </c>
      <c r="C13" s="6" t="s">
        <v>10</v>
      </c>
      <c r="D13" s="6" t="s">
        <v>11</v>
      </c>
    </row>
    <row r="14" customFormat="false" ht="30" hidden="false" customHeight="true" outlineLevel="0" collapsed="false">
      <c r="B14" s="7" t="s">
        <v>12</v>
      </c>
      <c r="C14" s="8" t="s">
        <v>13</v>
      </c>
      <c r="D14" s="9" t="s">
        <v>14</v>
      </c>
    </row>
    <row r="15" customFormat="false" ht="30" hidden="false" customHeight="true" outlineLevel="0" collapsed="false">
      <c r="B15" s="7" t="s">
        <v>15</v>
      </c>
      <c r="C15" s="8" t="s">
        <v>16</v>
      </c>
      <c r="D15" s="9" t="s">
        <v>17</v>
      </c>
    </row>
    <row r="16" customFormat="false" ht="30" hidden="false" customHeight="true" outlineLevel="0" collapsed="false">
      <c r="B16" s="7" t="s">
        <v>18</v>
      </c>
      <c r="C16" s="8" t="s">
        <v>19</v>
      </c>
      <c r="D16" s="9" t="s">
        <v>20</v>
      </c>
    </row>
    <row r="17" customFormat="false" ht="30" hidden="false" customHeight="true" outlineLevel="0" collapsed="false">
      <c r="B17" s="7" t="s">
        <v>21</v>
      </c>
      <c r="C17" s="8" t="s">
        <v>22</v>
      </c>
      <c r="D17" s="9" t="s">
        <v>23</v>
      </c>
    </row>
    <row r="18" customFormat="false" ht="30" hidden="false" customHeight="true" outlineLevel="0" collapsed="false">
      <c r="B18" s="7" t="s">
        <v>24</v>
      </c>
      <c r="C18" s="8" t="s">
        <v>25</v>
      </c>
      <c r="D18" s="9" t="s">
        <v>26</v>
      </c>
    </row>
    <row r="19" customFormat="false" ht="30" hidden="false" customHeight="true" outlineLevel="0" collapsed="false">
      <c r="B19" s="7" t="s">
        <v>27</v>
      </c>
      <c r="C19" s="8" t="s">
        <v>28</v>
      </c>
      <c r="D19" s="9" t="s">
        <v>29</v>
      </c>
    </row>
    <row r="21" customFormat="false" ht="15" hidden="false" customHeight="false" outlineLevel="0" collapsed="false">
      <c r="B21" s="3" t="s">
        <v>30</v>
      </c>
    </row>
    <row r="22" customFormat="false" ht="30" hidden="false" customHeight="true" outlineLevel="0" collapsed="false">
      <c r="C22" s="5" t="s">
        <v>31</v>
      </c>
    </row>
    <row r="24" customFormat="false" ht="15" hidden="false" customHeight="false" outlineLevel="0" collapsed="false">
      <c r="B24" s="3" t="s">
        <v>32</v>
      </c>
    </row>
    <row r="25" customFormat="false" ht="15" hidden="false" customHeight="false" outlineLevel="0" collapsed="false">
      <c r="B25" s="10" t="s">
        <v>33</v>
      </c>
      <c r="C25" s="4" t="s">
        <v>34</v>
      </c>
    </row>
    <row r="26" customFormat="false" ht="15" hidden="false" customHeight="false" outlineLevel="0" collapsed="false">
      <c r="B26" s="11" t="s">
        <v>33</v>
      </c>
      <c r="C26" s="4" t="s">
        <v>35</v>
      </c>
    </row>
    <row r="27" customFormat="false" ht="15" hidden="false" customHeight="false" outlineLevel="0" collapsed="false">
      <c r="B27" s="12" t="s">
        <v>33</v>
      </c>
      <c r="C27" s="4" t="s">
        <v>36</v>
      </c>
    </row>
    <row r="28" customFormat="false" ht="15" hidden="false" customHeight="false" outlineLevel="0" collapsed="false">
      <c r="B28" s="13" t="s">
        <v>33</v>
      </c>
      <c r="C28" s="4" t="s">
        <v>37</v>
      </c>
    </row>
    <row r="30" customFormat="false" ht="15" hidden="false" customHeight="false" outlineLevel="0" collapsed="false">
      <c r="B30" s="3" t="s">
        <v>38</v>
      </c>
    </row>
    <row r="31" customFormat="false" ht="30" hidden="false" customHeight="true" outlineLevel="0" collapsed="false">
      <c r="B31" s="4" t="s">
        <v>3</v>
      </c>
      <c r="C31" s="5" t="s">
        <v>39</v>
      </c>
    </row>
    <row r="32" customFormat="false" ht="45" hidden="false" customHeight="true" outlineLevel="0" collapsed="false">
      <c r="B32" s="4" t="s">
        <v>3</v>
      </c>
      <c r="C32" s="5" t="s">
        <v>40</v>
      </c>
    </row>
    <row r="33" customFormat="false" ht="30" hidden="false" customHeight="true" outlineLevel="0" collapsed="false">
      <c r="B33" s="4" t="s">
        <v>3</v>
      </c>
      <c r="C33" s="5" t="s">
        <v>41</v>
      </c>
    </row>
    <row r="35" customFormat="false" ht="15" hidden="false" customHeight="false" outlineLevel="0" collapsed="false">
      <c r="B35" s="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15" min="4" style="0" width="9"/>
  </cols>
  <sheetData>
    <row r="1" customFormat="false" ht="30" hidden="false" customHeight="tru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30" hidden="false" customHeight="true" outlineLevel="0" collapsed="false">
      <c r="A4" s="6" t="s">
        <v>45</v>
      </c>
      <c r="B4" s="6" t="s">
        <v>46</v>
      </c>
      <c r="C4" s="6" t="s">
        <v>47</v>
      </c>
      <c r="D4" s="6" t="s">
        <v>48</v>
      </c>
      <c r="E4" s="6" t="s">
        <v>49</v>
      </c>
      <c r="F4" s="6" t="s">
        <v>50</v>
      </c>
      <c r="G4" s="6" t="s">
        <v>51</v>
      </c>
      <c r="H4" s="6" t="s">
        <v>52</v>
      </c>
      <c r="I4" s="6" t="s">
        <v>53</v>
      </c>
      <c r="J4" s="6" t="s">
        <v>54</v>
      </c>
      <c r="K4" s="6" t="s">
        <v>55</v>
      </c>
      <c r="L4" s="6" t="s">
        <v>56</v>
      </c>
      <c r="M4" s="6" t="s">
        <v>57</v>
      </c>
      <c r="N4" s="6" t="s">
        <v>58</v>
      </c>
      <c r="O4" s="6" t="s">
        <v>59</v>
      </c>
    </row>
    <row r="5" customFormat="false" ht="15" hidden="false" customHeight="false" outlineLevel="0" collapsed="false">
      <c r="A5" s="7" t="s">
        <v>60</v>
      </c>
      <c r="B5" s="14" t="s">
        <v>61</v>
      </c>
      <c r="C5" s="15" t="n">
        <v>768</v>
      </c>
      <c r="D5" s="15" t="n">
        <v>9535</v>
      </c>
      <c r="E5" s="15" t="n">
        <v>10935</v>
      </c>
      <c r="F5" s="15" t="n">
        <v>10805</v>
      </c>
      <c r="G5" s="15" t="n">
        <v>12649</v>
      </c>
      <c r="H5" s="15" t="n">
        <v>10346</v>
      </c>
      <c r="I5" s="15" t="n">
        <v>10485</v>
      </c>
      <c r="J5" s="15" t="n">
        <v>9439</v>
      </c>
      <c r="K5" s="15" t="n">
        <v>10136</v>
      </c>
      <c r="L5" s="15" t="n">
        <v>10016</v>
      </c>
      <c r="M5" s="15" t="n">
        <v>9240</v>
      </c>
      <c r="N5" s="15" t="n">
        <v>10730</v>
      </c>
      <c r="O5" s="15" t="n">
        <v>9658</v>
      </c>
    </row>
    <row r="6" customFormat="false" ht="15" hidden="false" customHeight="false" outlineLevel="0" collapsed="false">
      <c r="A6" s="7" t="s">
        <v>62</v>
      </c>
      <c r="B6" s="14" t="s">
        <v>63</v>
      </c>
      <c r="C6" s="15" t="n">
        <v>118</v>
      </c>
      <c r="D6" s="15" t="n">
        <v>69259</v>
      </c>
      <c r="E6" s="15" t="n">
        <v>72723</v>
      </c>
      <c r="F6" s="15" t="n">
        <v>56500</v>
      </c>
      <c r="G6" s="15" t="n">
        <v>81391</v>
      </c>
      <c r="H6" s="15" t="n">
        <v>62356</v>
      </c>
      <c r="I6" s="15" t="n">
        <v>57164</v>
      </c>
      <c r="J6" s="15" t="n">
        <v>58744</v>
      </c>
      <c r="K6" s="15" t="n">
        <v>63130</v>
      </c>
      <c r="L6" s="15" t="n">
        <v>62529</v>
      </c>
      <c r="M6" s="15" t="n">
        <v>60228</v>
      </c>
      <c r="N6" s="15" t="n">
        <v>61007</v>
      </c>
      <c r="O6" s="15" t="n">
        <v>67598</v>
      </c>
    </row>
    <row r="7" customFormat="false" ht="15" hidden="false" customHeight="false" outlineLevel="0" collapsed="false">
      <c r="A7" s="7" t="s">
        <v>64</v>
      </c>
      <c r="B7" s="14" t="s">
        <v>65</v>
      </c>
      <c r="C7" s="15" t="n">
        <v>372</v>
      </c>
      <c r="D7" s="15" t="n">
        <v>14937</v>
      </c>
      <c r="E7" s="15" t="n">
        <v>14629</v>
      </c>
      <c r="F7" s="15" t="n">
        <v>14102</v>
      </c>
      <c r="G7" s="15" t="n">
        <v>20514</v>
      </c>
      <c r="H7" s="15" t="n">
        <v>15732</v>
      </c>
      <c r="I7" s="15" t="n">
        <v>13107</v>
      </c>
      <c r="J7" s="15" t="n">
        <v>13428</v>
      </c>
      <c r="K7" s="15" t="n">
        <v>14304</v>
      </c>
      <c r="L7" s="15" t="n">
        <v>14449</v>
      </c>
      <c r="M7" s="15" t="n">
        <v>15079</v>
      </c>
      <c r="N7" s="15" t="n">
        <v>12499</v>
      </c>
      <c r="O7" s="15" t="n">
        <v>15029</v>
      </c>
    </row>
    <row r="8" customFormat="false" ht="15" hidden="false" customHeight="false" outlineLevel="0" collapsed="false">
      <c r="A8" s="7" t="s">
        <v>66</v>
      </c>
      <c r="B8" s="14" t="s">
        <v>67</v>
      </c>
      <c r="C8" s="15" t="n">
        <v>240</v>
      </c>
      <c r="D8" s="15" t="n">
        <v>12896</v>
      </c>
      <c r="E8" s="15" t="n">
        <v>12946</v>
      </c>
      <c r="F8" s="15" t="n">
        <v>11900</v>
      </c>
      <c r="G8" s="15" t="n">
        <v>13982</v>
      </c>
      <c r="H8" s="15" t="n">
        <v>12636</v>
      </c>
      <c r="I8" s="15" t="n">
        <v>17338</v>
      </c>
      <c r="J8" s="15" t="n">
        <v>20188</v>
      </c>
      <c r="K8" s="15" t="n">
        <v>19598</v>
      </c>
      <c r="L8" s="15" t="n">
        <v>20168</v>
      </c>
      <c r="M8" s="15" t="n">
        <v>18293</v>
      </c>
      <c r="N8" s="15" t="n">
        <v>18105</v>
      </c>
      <c r="O8" s="15" t="n">
        <v>16522</v>
      </c>
    </row>
    <row r="9" customFormat="false" ht="15" hidden="false" customHeight="false" outlineLevel="0" collapsed="false">
      <c r="A9" s="7" t="s">
        <v>68</v>
      </c>
      <c r="B9" s="14" t="s">
        <v>69</v>
      </c>
      <c r="C9" s="15" t="n">
        <v>168</v>
      </c>
      <c r="D9" s="15" t="n">
        <v>17398</v>
      </c>
      <c r="E9" s="15" t="n">
        <v>15375</v>
      </c>
      <c r="F9" s="15" t="n">
        <v>13217</v>
      </c>
      <c r="G9" s="15" t="n">
        <v>14615</v>
      </c>
      <c r="H9" s="15" t="n">
        <v>16409</v>
      </c>
      <c r="I9" s="15" t="n">
        <v>18752</v>
      </c>
      <c r="J9" s="15" t="n">
        <v>25360</v>
      </c>
      <c r="K9" s="15" t="n">
        <v>29198</v>
      </c>
      <c r="L9" s="15" t="n">
        <v>28562</v>
      </c>
      <c r="M9" s="15" t="n">
        <v>27965</v>
      </c>
      <c r="N9" s="15" t="n">
        <v>27375</v>
      </c>
      <c r="O9" s="15" t="n">
        <v>23240</v>
      </c>
    </row>
    <row r="10" customFormat="false" ht="15" hidden="false" customHeight="false" outlineLevel="0" collapsed="false">
      <c r="A10" s="7" t="s">
        <v>70</v>
      </c>
      <c r="B10" s="14" t="s">
        <v>71</v>
      </c>
      <c r="C10" s="15" t="n">
        <v>122</v>
      </c>
      <c r="D10" s="15" t="n">
        <v>23435</v>
      </c>
      <c r="E10" s="15" t="n">
        <v>33627</v>
      </c>
      <c r="F10" s="15" t="n">
        <v>24275</v>
      </c>
      <c r="G10" s="15" t="n">
        <v>28359</v>
      </c>
      <c r="H10" s="15" t="n">
        <v>23836</v>
      </c>
      <c r="I10" s="15" t="n">
        <v>27568</v>
      </c>
      <c r="J10" s="15" t="n">
        <v>22538</v>
      </c>
      <c r="K10" s="15" t="n">
        <v>28559</v>
      </c>
      <c r="L10" s="15" t="n">
        <v>26968</v>
      </c>
      <c r="M10" s="15" t="n">
        <v>24209</v>
      </c>
      <c r="N10" s="15" t="n">
        <v>26671</v>
      </c>
      <c r="O10" s="15" t="n">
        <v>28235</v>
      </c>
    </row>
    <row r="11" customFormat="false" ht="15" hidden="false" customHeight="false" outlineLevel="0" collapsed="false">
      <c r="A11" s="7" t="s">
        <v>72</v>
      </c>
      <c r="B11" s="14" t="s">
        <v>73</v>
      </c>
      <c r="C11" s="15" t="n">
        <v>196</v>
      </c>
      <c r="D11" s="15" t="n">
        <v>14110</v>
      </c>
      <c r="E11" s="15" t="n">
        <v>14079</v>
      </c>
      <c r="F11" s="15" t="n">
        <v>19719</v>
      </c>
      <c r="G11" s="15" t="n">
        <v>16906</v>
      </c>
      <c r="H11" s="15" t="n">
        <v>14733</v>
      </c>
      <c r="I11" s="15" t="n">
        <v>13554</v>
      </c>
      <c r="J11" s="15" t="n">
        <v>13452</v>
      </c>
      <c r="K11" s="15" t="n">
        <v>13656</v>
      </c>
      <c r="L11" s="15" t="n">
        <v>16415</v>
      </c>
      <c r="M11" s="15" t="n">
        <v>19286</v>
      </c>
      <c r="N11" s="15" t="n">
        <v>18732</v>
      </c>
      <c r="O11" s="15" t="n">
        <v>15684</v>
      </c>
    </row>
    <row r="12" customFormat="false" ht="15" hidden="false" customHeight="false" outlineLevel="0" collapsed="false">
      <c r="A12" s="7" t="s">
        <v>74</v>
      </c>
      <c r="B12" s="14" t="s">
        <v>75</v>
      </c>
      <c r="C12" s="15" t="n">
        <v>228</v>
      </c>
      <c r="D12" s="15" t="n">
        <v>11540</v>
      </c>
      <c r="E12" s="15" t="n">
        <v>11347</v>
      </c>
      <c r="F12" s="15" t="n">
        <v>13181</v>
      </c>
      <c r="G12" s="15" t="n">
        <v>14680</v>
      </c>
      <c r="H12" s="15" t="n">
        <v>12581</v>
      </c>
      <c r="I12" s="15" t="n">
        <v>10730</v>
      </c>
      <c r="J12" s="15" t="n">
        <v>11584</v>
      </c>
      <c r="K12" s="15" t="n">
        <v>12282</v>
      </c>
      <c r="L12" s="15" t="n">
        <v>11377</v>
      </c>
      <c r="M12" s="15" t="n">
        <v>12077</v>
      </c>
      <c r="N12" s="15" t="n">
        <v>13159</v>
      </c>
      <c r="O12" s="15" t="n">
        <v>11761</v>
      </c>
    </row>
    <row r="13" customFormat="false" ht="15" hidden="false" customHeight="false" outlineLevel="0" collapsed="false">
      <c r="A13" s="7" t="s">
        <v>76</v>
      </c>
      <c r="B13" s="14" t="s">
        <v>77</v>
      </c>
      <c r="C13" s="15" t="n">
        <v>264</v>
      </c>
      <c r="D13" s="15" t="n">
        <v>9233</v>
      </c>
      <c r="E13" s="15" t="n">
        <v>8222</v>
      </c>
      <c r="F13" s="15" t="n">
        <v>8375</v>
      </c>
      <c r="G13" s="15" t="n">
        <v>10003</v>
      </c>
      <c r="H13" s="15" t="n">
        <v>8483</v>
      </c>
      <c r="I13" s="15" t="n">
        <v>7084</v>
      </c>
      <c r="J13" s="15" t="n">
        <v>7496</v>
      </c>
      <c r="K13" s="15" t="n">
        <v>10001</v>
      </c>
      <c r="L13" s="15" t="n">
        <v>8214</v>
      </c>
      <c r="M13" s="15" t="n">
        <v>8840</v>
      </c>
      <c r="N13" s="15" t="n">
        <v>9240</v>
      </c>
      <c r="O13" s="15" t="n">
        <v>13824</v>
      </c>
    </row>
    <row r="14" customFormat="false" ht="15" hidden="false" customHeight="false" outlineLevel="0" collapsed="false">
      <c r="A14" s="7" t="s">
        <v>78</v>
      </c>
      <c r="B14" s="14" t="s">
        <v>79</v>
      </c>
      <c r="C14" s="15" t="n">
        <v>552</v>
      </c>
      <c r="D14" s="15" t="n">
        <v>3559</v>
      </c>
      <c r="E14" s="15" t="n">
        <v>3579</v>
      </c>
      <c r="F14" s="15" t="n">
        <v>4208</v>
      </c>
      <c r="G14" s="15" t="n">
        <v>4315</v>
      </c>
      <c r="H14" s="15" t="n">
        <v>4565</v>
      </c>
      <c r="I14" s="15" t="n">
        <v>3469</v>
      </c>
      <c r="J14" s="15" t="n">
        <v>4359</v>
      </c>
      <c r="K14" s="15" t="n">
        <v>4125</v>
      </c>
      <c r="L14" s="15" t="n">
        <v>4157</v>
      </c>
      <c r="M14" s="15" t="n">
        <v>4416</v>
      </c>
      <c r="N14" s="15" t="n">
        <v>6707</v>
      </c>
      <c r="O14" s="15" t="n">
        <v>3915</v>
      </c>
    </row>
    <row r="15" customFormat="false" ht="15" hidden="false" customHeight="false" outlineLevel="0" collapsed="false">
      <c r="A15" s="7" t="s">
        <v>80</v>
      </c>
      <c r="B15" s="14" t="s">
        <v>81</v>
      </c>
      <c r="C15" s="15" t="n">
        <v>280</v>
      </c>
      <c r="D15" s="15" t="n">
        <v>7511</v>
      </c>
      <c r="E15" s="15" t="n">
        <v>8312</v>
      </c>
      <c r="F15" s="15" t="n">
        <v>7121</v>
      </c>
      <c r="G15" s="15" t="n">
        <v>9123</v>
      </c>
      <c r="H15" s="15" t="n">
        <v>8507</v>
      </c>
      <c r="I15" s="15" t="n">
        <v>9114</v>
      </c>
      <c r="J15" s="15" t="n">
        <v>6968</v>
      </c>
      <c r="K15" s="15" t="n">
        <v>7400</v>
      </c>
      <c r="L15" s="15" t="n">
        <v>7499</v>
      </c>
      <c r="M15" s="15" t="n">
        <v>7400</v>
      </c>
      <c r="N15" s="15" t="n">
        <v>10193</v>
      </c>
      <c r="O15" s="15" t="n">
        <v>10187</v>
      </c>
    </row>
    <row r="16" customFormat="false" ht="15" hidden="false" customHeight="false" outlineLevel="0" collapsed="false">
      <c r="A16" s="7" t="s">
        <v>82</v>
      </c>
      <c r="B16" s="14" t="s">
        <v>83</v>
      </c>
      <c r="C16" s="15" t="n">
        <v>1140</v>
      </c>
      <c r="D16" s="15" t="n">
        <v>1071</v>
      </c>
      <c r="E16" s="15" t="n">
        <v>4935</v>
      </c>
      <c r="F16" s="15" t="n">
        <v>7277</v>
      </c>
      <c r="G16" s="15" t="n">
        <v>5374</v>
      </c>
      <c r="H16" s="15" t="n">
        <v>3407</v>
      </c>
      <c r="I16" s="15" t="n">
        <v>117</v>
      </c>
      <c r="J16" s="15" t="n">
        <v>115</v>
      </c>
      <c r="K16" s="15" t="n">
        <v>134</v>
      </c>
      <c r="L16" s="15" t="n">
        <v>136</v>
      </c>
      <c r="M16" s="15" t="n">
        <v>139</v>
      </c>
      <c r="N16" s="15" t="n">
        <v>147</v>
      </c>
      <c r="O16" s="15" t="n">
        <v>186</v>
      </c>
    </row>
    <row r="17" customFormat="false" ht="15" hidden="false" customHeight="false" outlineLevel="0" collapsed="false">
      <c r="A17" s="7" t="s">
        <v>84</v>
      </c>
      <c r="B17" s="14" t="s">
        <v>85</v>
      </c>
      <c r="C17" s="15" t="n">
        <v>390</v>
      </c>
      <c r="D17" s="15" t="n">
        <v>5419</v>
      </c>
      <c r="E17" s="15" t="n">
        <v>4656</v>
      </c>
      <c r="F17" s="15" t="n">
        <v>4884</v>
      </c>
      <c r="G17" s="15" t="n">
        <v>6289</v>
      </c>
      <c r="H17" s="15" t="n">
        <v>6099</v>
      </c>
      <c r="I17" s="15" t="n">
        <v>4612</v>
      </c>
      <c r="J17" s="15" t="n">
        <v>5355</v>
      </c>
      <c r="K17" s="15" t="n">
        <v>6256</v>
      </c>
      <c r="L17" s="15" t="n">
        <v>5220</v>
      </c>
      <c r="M17" s="15" t="n">
        <v>5708</v>
      </c>
      <c r="N17" s="15" t="n">
        <v>4966</v>
      </c>
      <c r="O17" s="15" t="n">
        <v>5054</v>
      </c>
    </row>
    <row r="18" customFormat="false" ht="15" hidden="false" customHeight="false" outlineLevel="0" collapsed="false">
      <c r="A18" s="7" t="s">
        <v>86</v>
      </c>
      <c r="B18" s="14" t="s">
        <v>87</v>
      </c>
      <c r="C18" s="15" t="n">
        <v>264</v>
      </c>
      <c r="D18" s="15" t="n">
        <v>5938</v>
      </c>
      <c r="E18" s="15" t="n">
        <v>6194</v>
      </c>
      <c r="F18" s="15" t="n">
        <v>6138</v>
      </c>
      <c r="G18" s="15" t="n">
        <v>5426</v>
      </c>
      <c r="H18" s="15" t="n">
        <v>5288</v>
      </c>
      <c r="I18" s="15" t="n">
        <v>7925</v>
      </c>
      <c r="J18" s="15" t="n">
        <v>7475</v>
      </c>
      <c r="K18" s="15" t="n">
        <v>13265</v>
      </c>
      <c r="L18" s="15" t="n">
        <v>9832</v>
      </c>
      <c r="M18" s="15" t="n">
        <v>10158</v>
      </c>
      <c r="N18" s="15" t="n">
        <v>7985</v>
      </c>
      <c r="O18" s="15" t="n">
        <v>7203</v>
      </c>
    </row>
    <row r="19" customFormat="false" ht="15" hidden="false" customHeight="false" outlineLevel="0" collapsed="false">
      <c r="A19" s="7" t="s">
        <v>88</v>
      </c>
      <c r="B19" s="14" t="s">
        <v>89</v>
      </c>
      <c r="C19" s="15" t="n">
        <v>315</v>
      </c>
      <c r="D19" s="15" t="n">
        <v>4354</v>
      </c>
      <c r="E19" s="15" t="n">
        <v>4665</v>
      </c>
      <c r="F19" s="15" t="n">
        <v>3869</v>
      </c>
      <c r="G19" s="15" t="n">
        <v>7587</v>
      </c>
      <c r="H19" s="15" t="n">
        <v>6063</v>
      </c>
      <c r="I19" s="15" t="n">
        <v>4274</v>
      </c>
      <c r="J19" s="15" t="n">
        <v>3902</v>
      </c>
      <c r="K19" s="15" t="n">
        <v>2928</v>
      </c>
      <c r="L19" s="15" t="n">
        <v>4650</v>
      </c>
      <c r="M19" s="15" t="n">
        <v>4295</v>
      </c>
      <c r="N19" s="15" t="n">
        <v>3951</v>
      </c>
      <c r="O19" s="15" t="n">
        <v>4222</v>
      </c>
    </row>
    <row r="20" customFormat="false" ht="15" hidden="false" customHeight="false" outlineLevel="0" collapsed="false">
      <c r="A20" s="7" t="s">
        <v>90</v>
      </c>
      <c r="B20" s="14" t="s">
        <v>91</v>
      </c>
      <c r="C20" s="15" t="n">
        <v>216</v>
      </c>
      <c r="D20" s="15" t="n">
        <v>4824</v>
      </c>
      <c r="E20" s="15" t="n">
        <v>4068</v>
      </c>
      <c r="F20" s="15" t="n">
        <v>4552</v>
      </c>
      <c r="G20" s="15" t="n">
        <v>3526</v>
      </c>
      <c r="H20" s="15" t="n">
        <v>4090</v>
      </c>
      <c r="I20" s="15" t="n">
        <v>4256</v>
      </c>
      <c r="J20" s="15" t="n">
        <v>7914</v>
      </c>
      <c r="K20" s="15" t="n">
        <v>9095</v>
      </c>
      <c r="L20" s="15" t="n">
        <v>7432</v>
      </c>
      <c r="M20" s="15" t="n">
        <v>8043</v>
      </c>
      <c r="N20" s="15" t="n">
        <v>7128</v>
      </c>
      <c r="O20" s="15" t="n">
        <v>5652</v>
      </c>
    </row>
    <row r="21" customFormat="false" ht="15" hidden="false" customHeight="false" outlineLevel="0" collapsed="false">
      <c r="A21" s="7" t="s">
        <v>92</v>
      </c>
      <c r="B21" s="14" t="s">
        <v>93</v>
      </c>
      <c r="C21" s="15" t="n">
        <v>165</v>
      </c>
      <c r="D21" s="15" t="n">
        <v>7790</v>
      </c>
      <c r="E21" s="15" t="n">
        <v>7478</v>
      </c>
      <c r="F21" s="15" t="n">
        <v>7626</v>
      </c>
      <c r="G21" s="15" t="n">
        <v>7140</v>
      </c>
      <c r="H21" s="15" t="n">
        <v>5767</v>
      </c>
      <c r="I21" s="15" t="n">
        <v>5978</v>
      </c>
      <c r="J21" s="15" t="n">
        <v>6346</v>
      </c>
      <c r="K21" s="15" t="n">
        <v>6681</v>
      </c>
      <c r="L21" s="15" t="n">
        <v>6577</v>
      </c>
      <c r="M21" s="15" t="n">
        <v>6053</v>
      </c>
      <c r="N21" s="15" t="n">
        <v>6229</v>
      </c>
      <c r="O21" s="15" t="n">
        <v>5090</v>
      </c>
    </row>
    <row r="22" customFormat="false" ht="15" hidden="false" customHeight="false" outlineLevel="0" collapsed="false">
      <c r="A22" s="7" t="s">
        <v>94</v>
      </c>
      <c r="B22" s="14" t="s">
        <v>95</v>
      </c>
      <c r="C22" s="15" t="n">
        <v>175</v>
      </c>
      <c r="D22" s="15" t="n">
        <v>9275</v>
      </c>
      <c r="E22" s="15" t="n">
        <v>4030</v>
      </c>
      <c r="F22" s="15" t="n">
        <v>4410</v>
      </c>
      <c r="G22" s="15" t="n">
        <v>5324</v>
      </c>
      <c r="H22" s="15" t="n">
        <v>4996</v>
      </c>
      <c r="I22" s="15" t="n">
        <v>5721</v>
      </c>
      <c r="J22" s="15" t="n">
        <v>5874</v>
      </c>
      <c r="K22" s="15" t="n">
        <v>5533</v>
      </c>
      <c r="L22" s="15" t="n">
        <v>4633</v>
      </c>
      <c r="M22" s="15" t="n">
        <v>5242</v>
      </c>
      <c r="N22" s="15" t="n">
        <v>5639</v>
      </c>
      <c r="O22" s="15" t="n">
        <v>6040</v>
      </c>
    </row>
    <row r="23" customFormat="false" ht="15" hidden="false" customHeight="false" outlineLevel="0" collapsed="false">
      <c r="A23" s="7" t="s">
        <v>96</v>
      </c>
      <c r="B23" s="14" t="s">
        <v>97</v>
      </c>
      <c r="C23" s="15" t="n">
        <v>336</v>
      </c>
      <c r="D23" s="15" t="n">
        <v>1140</v>
      </c>
      <c r="E23" s="15" t="n">
        <v>1917</v>
      </c>
      <c r="F23" s="15" t="n">
        <v>1695</v>
      </c>
      <c r="G23" s="15" t="n">
        <v>1817</v>
      </c>
      <c r="H23" s="15" t="n">
        <v>1385</v>
      </c>
      <c r="I23" s="15" t="n">
        <v>1431</v>
      </c>
      <c r="J23" s="15" t="n">
        <v>1533</v>
      </c>
      <c r="K23" s="15" t="n">
        <v>2002</v>
      </c>
      <c r="L23" s="15" t="n">
        <v>1487</v>
      </c>
      <c r="M23" s="15" t="n">
        <v>2161</v>
      </c>
      <c r="N23" s="15" t="n">
        <v>1703</v>
      </c>
      <c r="O23" s="15" t="n">
        <v>1877</v>
      </c>
    </row>
    <row r="24" customFormat="false" ht="15" hidden="false" customHeight="false" outlineLevel="0" collapsed="false">
      <c r="A24" s="7" t="s">
        <v>98</v>
      </c>
      <c r="B24" s="14" t="s">
        <v>99</v>
      </c>
      <c r="C24" s="15" t="n">
        <v>980</v>
      </c>
      <c r="D24" s="15" t="n">
        <v>205</v>
      </c>
      <c r="E24" s="15" t="n">
        <v>102</v>
      </c>
      <c r="F24" s="15" t="n">
        <v>343</v>
      </c>
      <c r="G24" s="15" t="n">
        <v>215</v>
      </c>
      <c r="H24" s="15" t="n">
        <v>1004</v>
      </c>
      <c r="I24" s="15" t="n">
        <v>916</v>
      </c>
      <c r="J24" s="15" t="n">
        <v>525</v>
      </c>
      <c r="K24" s="15" t="n">
        <v>0</v>
      </c>
      <c r="L24" s="15" t="n">
        <v>980</v>
      </c>
      <c r="M24" s="15" t="n">
        <v>261</v>
      </c>
      <c r="N24" s="15" t="n">
        <v>1112</v>
      </c>
      <c r="O24" s="15" t="n">
        <v>204</v>
      </c>
    </row>
    <row r="25" customFormat="false" ht="15" hidden="false" customHeight="false" outlineLevel="0" collapsed="false">
      <c r="A25" s="7" t="s">
        <v>100</v>
      </c>
      <c r="B25" s="14" t="s">
        <v>101</v>
      </c>
      <c r="C25" s="15" t="n">
        <v>650</v>
      </c>
      <c r="D25" s="15" t="n">
        <v>0</v>
      </c>
      <c r="E25" s="15" t="n">
        <v>219</v>
      </c>
      <c r="F25" s="15" t="n">
        <v>230</v>
      </c>
      <c r="G25" s="15" t="n">
        <v>988</v>
      </c>
      <c r="H25" s="15" t="n">
        <v>840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0</v>
      </c>
      <c r="O25" s="15" t="n">
        <v>0</v>
      </c>
    </row>
    <row r="26" customFormat="false" ht="15" hidden="false" customHeight="false" outlineLevel="0" collapsed="false">
      <c r="A26" s="7" t="s">
        <v>102</v>
      </c>
      <c r="B26" s="14" t="s">
        <v>103</v>
      </c>
      <c r="C26" s="15" t="n">
        <v>760</v>
      </c>
      <c r="D26" s="15" t="n">
        <v>99</v>
      </c>
      <c r="E26" s="15" t="n">
        <v>172</v>
      </c>
      <c r="F26" s="15" t="n">
        <v>414</v>
      </c>
      <c r="G26" s="15" t="n">
        <v>296</v>
      </c>
      <c r="H26" s="15" t="n">
        <v>0</v>
      </c>
      <c r="I26" s="15" t="n">
        <v>166</v>
      </c>
      <c r="J26" s="15" t="n">
        <v>0</v>
      </c>
      <c r="K26" s="15" t="n">
        <v>21</v>
      </c>
      <c r="L26" s="15" t="n">
        <v>199</v>
      </c>
      <c r="M26" s="15" t="n">
        <v>0</v>
      </c>
      <c r="N26" s="15" t="n">
        <v>0</v>
      </c>
      <c r="O26" s="15" t="n">
        <v>184</v>
      </c>
    </row>
    <row r="27" customFormat="false" ht="15" hidden="false" customHeight="false" outlineLevel="0" collapsed="false">
      <c r="A27" s="7" t="s">
        <v>104</v>
      </c>
      <c r="B27" s="14" t="s">
        <v>105</v>
      </c>
      <c r="C27" s="15" t="n">
        <v>41000</v>
      </c>
      <c r="D27" s="15" t="n">
        <v>0</v>
      </c>
      <c r="E27" s="15" t="n">
        <v>12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6</v>
      </c>
      <c r="M27" s="15" t="n">
        <v>0</v>
      </c>
      <c r="N27" s="15" t="n">
        <v>0</v>
      </c>
      <c r="O27" s="15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6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8"/>
    <col collapsed="false" customWidth="true" hidden="false" outlineLevel="0" max="14" min="13" style="0" width="9"/>
    <col collapsed="false" customWidth="true" hidden="false" outlineLevel="0" max="15" min="15" style="0" width="44"/>
    <col collapsed="false" customWidth="true" hidden="false" outlineLevel="0" max="17" min="17" style="0" width="20"/>
    <col collapsed="false" customWidth="true" hidden="false" outlineLevel="0" max="18" min="18" style="0" width="9"/>
    <col collapsed="false" customWidth="true" hidden="false" outlineLevel="0" max="19" min="19" style="0" width="60"/>
  </cols>
  <sheetData>
    <row r="1" customFormat="false" ht="30" hidden="false" customHeight="tru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36" hidden="false" customHeight="true" outlineLevel="0" collapsed="false">
      <c r="A4" s="6" t="s">
        <v>45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112</v>
      </c>
      <c r="G4" s="6" t="s">
        <v>113</v>
      </c>
      <c r="H4" s="6" t="s">
        <v>114</v>
      </c>
      <c r="I4" s="6" t="s">
        <v>115</v>
      </c>
      <c r="J4" s="6" t="s">
        <v>116</v>
      </c>
      <c r="K4" s="6" t="s">
        <v>117</v>
      </c>
      <c r="L4" s="6" t="s">
        <v>118</v>
      </c>
      <c r="M4" s="6" t="s">
        <v>119</v>
      </c>
      <c r="N4" s="6" t="s">
        <v>120</v>
      </c>
      <c r="O4" s="6" t="s">
        <v>121</v>
      </c>
      <c r="Q4" s="16" t="s">
        <v>122</v>
      </c>
      <c r="R4" s="16" t="s">
        <v>123</v>
      </c>
    </row>
    <row r="5" customFormat="false" ht="15" hidden="false" customHeight="false" outlineLevel="0" collapsed="false">
      <c r="A5" s="7" t="s">
        <v>60</v>
      </c>
      <c r="B5" s="17"/>
      <c r="C5" s="17"/>
      <c r="D5" s="18"/>
      <c r="E5" s="10"/>
      <c r="F5" s="19"/>
      <c r="G5" s="10"/>
      <c r="H5" s="20" t="n">
        <v>0.09</v>
      </c>
      <c r="I5" s="10"/>
      <c r="J5" s="21"/>
      <c r="K5" s="19"/>
      <c r="L5" s="19"/>
      <c r="M5" s="10"/>
      <c r="N5" s="10"/>
      <c r="O5" s="10"/>
      <c r="Q5" s="14" t="s">
        <v>124</v>
      </c>
      <c r="R5" s="22" t="n">
        <v>0.8</v>
      </c>
    </row>
    <row r="6" customFormat="false" ht="15" hidden="false" customHeight="false" outlineLevel="0" collapsed="false">
      <c r="A6" s="7" t="s">
        <v>62</v>
      </c>
      <c r="B6" s="17"/>
      <c r="C6" s="17"/>
      <c r="D6" s="18"/>
      <c r="E6" s="10"/>
      <c r="F6" s="19"/>
      <c r="G6" s="10"/>
      <c r="H6" s="20" t="n">
        <v>0.114</v>
      </c>
      <c r="I6" s="10"/>
      <c r="J6" s="21"/>
      <c r="K6" s="19"/>
      <c r="L6" s="19"/>
      <c r="M6" s="10"/>
      <c r="N6" s="10"/>
      <c r="O6" s="10"/>
      <c r="Q6" s="14" t="s">
        <v>125</v>
      </c>
      <c r="R6" s="22" t="n">
        <v>0.95</v>
      </c>
    </row>
    <row r="7" customFormat="false" ht="15" hidden="false" customHeight="false" outlineLevel="0" collapsed="false">
      <c r="A7" s="7" t="s">
        <v>64</v>
      </c>
      <c r="B7" s="17"/>
      <c r="C7" s="17"/>
      <c r="D7" s="18"/>
      <c r="E7" s="10"/>
      <c r="F7" s="19"/>
      <c r="G7" s="10"/>
      <c r="H7" s="20" t="n">
        <v>0.103</v>
      </c>
      <c r="I7" s="10"/>
      <c r="J7" s="21"/>
      <c r="K7" s="19"/>
      <c r="L7" s="19"/>
      <c r="M7" s="10"/>
      <c r="N7" s="10"/>
      <c r="O7" s="10"/>
      <c r="Q7" s="14" t="s">
        <v>126</v>
      </c>
      <c r="R7" s="23" t="n">
        <v>0.15</v>
      </c>
    </row>
    <row r="8" customFormat="false" ht="15" hidden="false" customHeight="false" outlineLevel="0" collapsed="false">
      <c r="A8" s="7" t="s">
        <v>66</v>
      </c>
      <c r="B8" s="17"/>
      <c r="C8" s="17"/>
      <c r="D8" s="18"/>
      <c r="E8" s="10"/>
      <c r="F8" s="19"/>
      <c r="G8" s="10"/>
      <c r="H8" s="20" t="n">
        <v>0.081</v>
      </c>
      <c r="I8" s="10"/>
      <c r="J8" s="21"/>
      <c r="K8" s="19"/>
      <c r="L8" s="19"/>
      <c r="M8" s="10"/>
      <c r="N8" s="10"/>
      <c r="O8" s="10"/>
      <c r="Q8" s="14" t="s">
        <v>127</v>
      </c>
      <c r="R8" s="23" t="n">
        <v>0.35</v>
      </c>
    </row>
    <row r="9" customFormat="false" ht="15" hidden="false" customHeight="false" outlineLevel="0" collapsed="false">
      <c r="A9" s="7" t="s">
        <v>68</v>
      </c>
      <c r="B9" s="17"/>
      <c r="C9" s="17"/>
      <c r="D9" s="18"/>
      <c r="E9" s="10"/>
      <c r="F9" s="19"/>
      <c r="G9" s="10"/>
      <c r="H9" s="20" t="n">
        <v>0.09</v>
      </c>
      <c r="I9" s="10"/>
      <c r="J9" s="21"/>
      <c r="K9" s="19"/>
      <c r="L9" s="19"/>
      <c r="M9" s="10"/>
      <c r="N9" s="10"/>
      <c r="O9" s="10"/>
    </row>
    <row r="10" customFormat="false" ht="15" hidden="false" customHeight="false" outlineLevel="0" collapsed="false">
      <c r="A10" s="7" t="s">
        <v>70</v>
      </c>
      <c r="B10" s="17"/>
      <c r="C10" s="17"/>
      <c r="D10" s="18"/>
      <c r="E10" s="10"/>
      <c r="F10" s="19"/>
      <c r="G10" s="10"/>
      <c r="H10" s="20" t="n">
        <v>0.111</v>
      </c>
      <c r="I10" s="10"/>
      <c r="J10" s="21"/>
      <c r="K10" s="19"/>
      <c r="L10" s="19"/>
      <c r="M10" s="10"/>
      <c r="N10" s="10"/>
      <c r="O10" s="10"/>
    </row>
    <row r="11" customFormat="false" ht="15" hidden="false" customHeight="false" outlineLevel="0" collapsed="false">
      <c r="A11" s="7" t="s">
        <v>72</v>
      </c>
      <c r="B11" s="17"/>
      <c r="C11" s="17"/>
      <c r="D11" s="18"/>
      <c r="E11" s="10"/>
      <c r="F11" s="19"/>
      <c r="G11" s="10"/>
      <c r="H11" s="20" t="n">
        <v>0.132</v>
      </c>
      <c r="I11" s="10"/>
      <c r="J11" s="21"/>
      <c r="K11" s="19"/>
      <c r="L11" s="19"/>
      <c r="M11" s="10"/>
      <c r="N11" s="10"/>
      <c r="O11" s="10"/>
      <c r="Q11" s="16" t="s">
        <v>128</v>
      </c>
      <c r="R11" s="16"/>
      <c r="S11" s="16" t="s">
        <v>129</v>
      </c>
    </row>
    <row r="12" customFormat="false" ht="15" hidden="false" customHeight="false" outlineLevel="0" collapsed="false">
      <c r="A12" s="7" t="s">
        <v>74</v>
      </c>
      <c r="B12" s="17"/>
      <c r="C12" s="17"/>
      <c r="D12" s="18"/>
      <c r="E12" s="10"/>
      <c r="F12" s="19"/>
      <c r="G12" s="10"/>
      <c r="H12" s="20" t="n">
        <v>0.068</v>
      </c>
      <c r="I12" s="10"/>
      <c r="J12" s="21"/>
      <c r="K12" s="19"/>
      <c r="L12" s="19"/>
      <c r="M12" s="10"/>
      <c r="N12" s="10"/>
      <c r="O12" s="10"/>
      <c r="R12" s="7" t="s">
        <v>130</v>
      </c>
      <c r="S12" s="14" t="s">
        <v>131</v>
      </c>
    </row>
    <row r="13" customFormat="false" ht="15" hidden="false" customHeight="false" outlineLevel="0" collapsed="false">
      <c r="A13" s="7" t="s">
        <v>76</v>
      </c>
      <c r="B13" s="17"/>
      <c r="C13" s="17"/>
      <c r="D13" s="18"/>
      <c r="E13" s="10"/>
      <c r="F13" s="19"/>
      <c r="G13" s="10"/>
      <c r="H13" s="20" t="n">
        <v>0.187</v>
      </c>
      <c r="I13" s="10"/>
      <c r="J13" s="21"/>
      <c r="K13" s="19"/>
      <c r="L13" s="19"/>
      <c r="M13" s="10"/>
      <c r="N13" s="10"/>
      <c r="O13" s="10"/>
      <c r="R13" s="7" t="s">
        <v>132</v>
      </c>
      <c r="S13" s="14" t="s">
        <v>133</v>
      </c>
    </row>
    <row r="14" customFormat="false" ht="15" hidden="false" customHeight="false" outlineLevel="0" collapsed="false">
      <c r="A14" s="7" t="s">
        <v>78</v>
      </c>
      <c r="B14" s="17"/>
      <c r="C14" s="17"/>
      <c r="D14" s="18"/>
      <c r="E14" s="10"/>
      <c r="F14" s="19"/>
      <c r="G14" s="10"/>
      <c r="H14" s="20" t="n">
        <v>0.161</v>
      </c>
      <c r="I14" s="10"/>
      <c r="J14" s="21"/>
      <c r="K14" s="19"/>
      <c r="L14" s="19"/>
      <c r="M14" s="10"/>
      <c r="N14" s="10"/>
      <c r="O14" s="10"/>
      <c r="R14" s="7" t="s">
        <v>134</v>
      </c>
      <c r="S14" s="14" t="s">
        <v>135</v>
      </c>
    </row>
    <row r="15" customFormat="false" ht="15" hidden="false" customHeight="false" outlineLevel="0" collapsed="false">
      <c r="A15" s="7" t="s">
        <v>80</v>
      </c>
      <c r="B15" s="17"/>
      <c r="C15" s="17"/>
      <c r="D15" s="18"/>
      <c r="E15" s="10"/>
      <c r="F15" s="19"/>
      <c r="G15" s="10"/>
      <c r="H15" s="20" t="n">
        <v>0.121</v>
      </c>
      <c r="I15" s="10"/>
      <c r="J15" s="21"/>
      <c r="K15" s="19"/>
      <c r="L15" s="19"/>
      <c r="M15" s="10"/>
      <c r="N15" s="10"/>
      <c r="O15" s="10"/>
      <c r="R15" s="7" t="s">
        <v>136</v>
      </c>
      <c r="S15" s="14" t="s">
        <v>137</v>
      </c>
    </row>
    <row r="16" customFormat="false" ht="15" hidden="false" customHeight="false" outlineLevel="0" collapsed="false">
      <c r="A16" s="7" t="s">
        <v>82</v>
      </c>
      <c r="B16" s="17"/>
      <c r="C16" s="17"/>
      <c r="D16" s="18"/>
      <c r="E16" s="10"/>
      <c r="F16" s="19"/>
      <c r="G16" s="10"/>
      <c r="H16" s="20" t="n">
        <v>0.283</v>
      </c>
      <c r="I16" s="10"/>
      <c r="J16" s="21"/>
      <c r="K16" s="19"/>
      <c r="L16" s="19"/>
      <c r="M16" s="10"/>
      <c r="N16" s="10"/>
      <c r="O16" s="10"/>
      <c r="R16" s="7" t="s">
        <v>138</v>
      </c>
      <c r="S16" s="14" t="s">
        <v>139</v>
      </c>
    </row>
    <row r="17" customFormat="false" ht="15" hidden="false" customHeight="false" outlineLevel="0" collapsed="false">
      <c r="A17" s="7" t="s">
        <v>84</v>
      </c>
      <c r="B17" s="17"/>
      <c r="C17" s="17"/>
      <c r="D17" s="18"/>
      <c r="E17" s="10"/>
      <c r="F17" s="19"/>
      <c r="G17" s="10"/>
      <c r="H17" s="20" t="n">
        <v>0.129</v>
      </c>
      <c r="I17" s="10"/>
      <c r="J17" s="21"/>
      <c r="K17" s="19"/>
      <c r="L17" s="19"/>
      <c r="M17" s="10"/>
      <c r="N17" s="10"/>
      <c r="O17" s="10"/>
      <c r="R17" s="7" t="s">
        <v>140</v>
      </c>
      <c r="S17" s="14" t="s">
        <v>141</v>
      </c>
    </row>
    <row r="18" customFormat="false" ht="15" hidden="false" customHeight="false" outlineLevel="0" collapsed="false">
      <c r="A18" s="7" t="s">
        <v>86</v>
      </c>
      <c r="B18" s="17"/>
      <c r="C18" s="17"/>
      <c r="D18" s="18"/>
      <c r="E18" s="10"/>
      <c r="F18" s="19"/>
      <c r="G18" s="10"/>
      <c r="H18" s="20" t="n">
        <v>0.162</v>
      </c>
      <c r="I18" s="10"/>
      <c r="J18" s="21"/>
      <c r="K18" s="19"/>
      <c r="L18" s="19"/>
      <c r="M18" s="10"/>
      <c r="N18" s="10"/>
      <c r="O18" s="10"/>
      <c r="R18" s="7" t="s">
        <v>142</v>
      </c>
      <c r="S18" s="14" t="s">
        <v>143</v>
      </c>
    </row>
    <row r="19" customFormat="false" ht="15" hidden="false" customHeight="false" outlineLevel="0" collapsed="false">
      <c r="A19" s="7" t="s">
        <v>88</v>
      </c>
      <c r="B19" s="17"/>
      <c r="C19" s="17"/>
      <c r="D19" s="18"/>
      <c r="E19" s="10"/>
      <c r="F19" s="19"/>
      <c r="G19" s="10"/>
      <c r="H19" s="20" t="n">
        <v>0.189</v>
      </c>
      <c r="I19" s="10"/>
      <c r="J19" s="21"/>
      <c r="K19" s="19"/>
      <c r="L19" s="19"/>
      <c r="M19" s="10"/>
      <c r="N19" s="10"/>
      <c r="O19" s="10"/>
      <c r="R19" s="7" t="s">
        <v>144</v>
      </c>
      <c r="S19" s="14" t="s">
        <v>145</v>
      </c>
    </row>
    <row r="20" customFormat="false" ht="15" hidden="false" customHeight="false" outlineLevel="0" collapsed="false">
      <c r="A20" s="7" t="s">
        <v>90</v>
      </c>
      <c r="B20" s="17"/>
      <c r="C20" s="17"/>
      <c r="D20" s="18"/>
      <c r="E20" s="10"/>
      <c r="F20" s="19"/>
      <c r="G20" s="10"/>
      <c r="H20" s="20" t="n">
        <v>0.212</v>
      </c>
      <c r="I20" s="10"/>
      <c r="J20" s="21"/>
      <c r="K20" s="19"/>
      <c r="L20" s="19"/>
      <c r="M20" s="10"/>
      <c r="N20" s="10"/>
      <c r="O20" s="10"/>
      <c r="R20" s="7" t="s">
        <v>146</v>
      </c>
      <c r="S20" s="14" t="s">
        <v>147</v>
      </c>
    </row>
    <row r="21" customFormat="false" ht="15" hidden="false" customHeight="false" outlineLevel="0" collapsed="false">
      <c r="A21" s="7" t="s">
        <v>92</v>
      </c>
      <c r="B21" s="17"/>
      <c r="C21" s="17"/>
      <c r="D21" s="18"/>
      <c r="E21" s="10"/>
      <c r="F21" s="19"/>
      <c r="G21" s="10"/>
      <c r="H21" s="20" t="n">
        <v>0.131</v>
      </c>
      <c r="I21" s="10"/>
      <c r="J21" s="21"/>
      <c r="K21" s="19"/>
      <c r="L21" s="19"/>
      <c r="M21" s="10"/>
      <c r="N21" s="10"/>
      <c r="O21" s="10"/>
    </row>
    <row r="22" customFormat="false" ht="15" hidden="false" customHeight="false" outlineLevel="0" collapsed="false">
      <c r="A22" s="7" t="s">
        <v>94</v>
      </c>
      <c r="B22" s="17"/>
      <c r="C22" s="17"/>
      <c r="D22" s="18"/>
      <c r="E22" s="10"/>
      <c r="F22" s="19"/>
      <c r="G22" s="10"/>
      <c r="H22" s="20" t="n">
        <v>0.237</v>
      </c>
      <c r="I22" s="10"/>
      <c r="J22" s="21"/>
      <c r="K22" s="19"/>
      <c r="L22" s="19"/>
      <c r="M22" s="10"/>
      <c r="N22" s="10"/>
      <c r="O22" s="10"/>
    </row>
    <row r="23" customFormat="false" ht="15" hidden="false" customHeight="false" outlineLevel="0" collapsed="false">
      <c r="A23" s="7" t="s">
        <v>96</v>
      </c>
      <c r="B23" s="17"/>
      <c r="C23" s="17"/>
      <c r="D23" s="18"/>
      <c r="E23" s="10"/>
      <c r="F23" s="19"/>
      <c r="G23" s="10"/>
      <c r="H23" s="20" t="n">
        <v>0.278</v>
      </c>
      <c r="I23" s="10"/>
      <c r="J23" s="21"/>
      <c r="K23" s="19"/>
      <c r="L23" s="19"/>
      <c r="M23" s="10"/>
      <c r="N23" s="10"/>
      <c r="O23" s="10"/>
    </row>
    <row r="24" customFormat="false" ht="15" hidden="false" customHeight="false" outlineLevel="0" collapsed="false">
      <c r="A24" s="7" t="s">
        <v>98</v>
      </c>
      <c r="B24" s="17"/>
      <c r="C24" s="17"/>
      <c r="D24" s="18"/>
      <c r="E24" s="10"/>
      <c r="F24" s="19"/>
      <c r="G24" s="10"/>
      <c r="H24" s="20" t="n">
        <v>0.849</v>
      </c>
      <c r="I24" s="10"/>
      <c r="J24" s="21"/>
      <c r="K24" s="19"/>
      <c r="L24" s="19"/>
      <c r="M24" s="10"/>
      <c r="N24" s="10"/>
      <c r="O24" s="10"/>
    </row>
    <row r="25" customFormat="false" ht="15" hidden="false" customHeight="false" outlineLevel="0" collapsed="false">
      <c r="A25" s="7" t="s">
        <v>100</v>
      </c>
      <c r="B25" s="17"/>
      <c r="C25" s="17"/>
      <c r="D25" s="18"/>
      <c r="E25" s="10"/>
      <c r="F25" s="19"/>
      <c r="G25" s="10"/>
      <c r="H25" s="20" t="n">
        <v>1.847</v>
      </c>
      <c r="I25" s="10"/>
      <c r="J25" s="21"/>
      <c r="K25" s="19"/>
      <c r="L25" s="19"/>
      <c r="M25" s="10"/>
      <c r="N25" s="10"/>
      <c r="O25" s="10"/>
    </row>
    <row r="26" customFormat="false" ht="15" hidden="false" customHeight="false" outlineLevel="0" collapsed="false">
      <c r="A26" s="7" t="s">
        <v>102</v>
      </c>
      <c r="B26" s="17"/>
      <c r="C26" s="17"/>
      <c r="D26" s="18"/>
      <c r="E26" s="10"/>
      <c r="F26" s="19"/>
      <c r="G26" s="10"/>
      <c r="H26" s="20" t="n">
        <v>1.042</v>
      </c>
      <c r="I26" s="10"/>
      <c r="J26" s="21"/>
      <c r="K26" s="19"/>
      <c r="L26" s="19"/>
      <c r="M26" s="10"/>
      <c r="N26" s="10"/>
      <c r="O26" s="10"/>
    </row>
    <row r="27" customFormat="false" ht="15" hidden="false" customHeight="false" outlineLevel="0" collapsed="false">
      <c r="A27" s="7" t="s">
        <v>104</v>
      </c>
      <c r="B27" s="17"/>
      <c r="C27" s="17"/>
      <c r="D27" s="18"/>
      <c r="E27" s="10"/>
      <c r="F27" s="19"/>
      <c r="G27" s="10"/>
      <c r="H27" s="20" t="n">
        <v>1.906</v>
      </c>
      <c r="I27" s="10"/>
      <c r="J27" s="21"/>
      <c r="K27" s="19"/>
      <c r="L27" s="19"/>
      <c r="M27" s="10"/>
      <c r="N27" s="10"/>
      <c r="O27" s="10"/>
    </row>
    <row r="29" customFormat="false" ht="15" hidden="false" customHeight="false" outlineLevel="0" collapsed="false">
      <c r="A29" s="2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0"/>
  </cols>
  <sheetData>
    <row r="1" customFormat="false" ht="30" hidden="false" customHeight="true" outlineLevel="0" collapsed="false">
      <c r="A1" s="1" t="s">
        <v>149</v>
      </c>
    </row>
    <row r="2" customFormat="false" ht="15" hidden="false" customHeight="false" outlineLevel="0" collapsed="false">
      <c r="A2" s="2"/>
    </row>
    <row r="4" customFormat="false" ht="15" hidden="false" customHeight="false" outlineLevel="0" collapsed="false">
      <c r="A4" s="6"/>
      <c r="B4" s="6" t="s">
        <v>150</v>
      </c>
      <c r="C4" s="6" t="s">
        <v>151</v>
      </c>
      <c r="D4" s="6" t="s">
        <v>152</v>
      </c>
      <c r="E4" s="6" t="s">
        <v>153</v>
      </c>
    </row>
    <row r="5" customFormat="false" ht="15" hidden="false" customHeight="false" outlineLevel="0" collapsed="false">
      <c r="A5" s="7" t="s">
        <v>154</v>
      </c>
      <c r="B5" s="24"/>
      <c r="C5" s="24"/>
      <c r="D5" s="24"/>
      <c r="E5" s="24"/>
    </row>
    <row r="6" customFormat="false" ht="15" hidden="false" customHeight="false" outlineLevel="0" collapsed="false">
      <c r="A6" s="7" t="s">
        <v>155</v>
      </c>
      <c r="B6" s="24"/>
      <c r="C6" s="24"/>
      <c r="D6" s="24"/>
      <c r="E6" s="24"/>
    </row>
    <row r="7" customFormat="false" ht="15" hidden="false" customHeight="false" outlineLevel="0" collapsed="false">
      <c r="A7" s="7" t="s">
        <v>156</v>
      </c>
      <c r="B7" s="24"/>
      <c r="C7" s="24"/>
      <c r="D7" s="24"/>
      <c r="E7" s="24"/>
    </row>
    <row r="9" customFormat="false" ht="15" hidden="false" customHeight="false" outlineLevel="0" collapsed="false">
      <c r="A9" s="2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6" min="3" style="0" width="9"/>
    <col collapsed="false" customWidth="true" hidden="false" outlineLevel="0" max="10" min="7" style="0" width="10"/>
    <col collapsed="false" customWidth="true" hidden="false" outlineLevel="0" max="11" min="11" style="0" width="3"/>
    <col collapsed="false" customWidth="true" hidden="false" outlineLevel="0" max="12" min="12" style="0" width="30"/>
    <col collapsed="false" customWidth="true" hidden="false" outlineLevel="0" max="13" min="13" style="0" width="11"/>
  </cols>
  <sheetData>
    <row r="1" customFormat="false" ht="30" hidden="false" customHeight="tru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4" customFormat="false" ht="30" hidden="false" customHeight="true" outlineLevel="0" collapsed="false">
      <c r="A4" s="6" t="s">
        <v>160</v>
      </c>
      <c r="B4" s="6" t="s">
        <v>161</v>
      </c>
      <c r="C4" s="6" t="s">
        <v>162</v>
      </c>
      <c r="D4" s="6" t="s">
        <v>163</v>
      </c>
      <c r="E4" s="6" t="s">
        <v>164</v>
      </c>
      <c r="F4" s="6" t="s">
        <v>165</v>
      </c>
      <c r="G4" s="6" t="s">
        <v>166</v>
      </c>
      <c r="H4" s="6" t="s">
        <v>167</v>
      </c>
      <c r="I4" s="6" t="s">
        <v>168</v>
      </c>
      <c r="J4" s="6" t="s">
        <v>169</v>
      </c>
      <c r="L4" s="16" t="s">
        <v>122</v>
      </c>
      <c r="M4" s="16" t="s">
        <v>123</v>
      </c>
    </row>
    <row r="5" customFormat="false" ht="15" hidden="false" customHeight="false" outlineLevel="0" collapsed="false">
      <c r="A5" s="14" t="s">
        <v>170</v>
      </c>
      <c r="B5" s="14" t="n">
        <v>1</v>
      </c>
      <c r="C5" s="15" t="n">
        <v>418</v>
      </c>
      <c r="E5" s="15" t="n">
        <f aca="false">C5</f>
        <v>418</v>
      </c>
      <c r="F5" s="25" t="n">
        <f aca="false">B5</f>
        <v>1</v>
      </c>
      <c r="I5" s="15" t="n">
        <f aca="false">C5</f>
        <v>418</v>
      </c>
      <c r="L5" s="14" t="s">
        <v>171</v>
      </c>
      <c r="M5" s="23" t="n">
        <v>0.1</v>
      </c>
    </row>
    <row r="6" customFormat="false" ht="15" hidden="false" customHeight="false" outlineLevel="0" collapsed="false">
      <c r="A6" s="14" t="s">
        <v>172</v>
      </c>
      <c r="B6" s="14" t="n">
        <v>2</v>
      </c>
      <c r="C6" s="15" t="n">
        <v>0</v>
      </c>
      <c r="D6" s="24"/>
      <c r="E6" s="17"/>
      <c r="F6" s="19"/>
      <c r="G6" s="17"/>
      <c r="H6" s="17"/>
      <c r="I6" s="17"/>
      <c r="J6" s="17"/>
    </row>
    <row r="7" customFormat="false" ht="15" hidden="false" customHeight="false" outlineLevel="0" collapsed="false">
      <c r="A7" s="14" t="s">
        <v>173</v>
      </c>
      <c r="B7" s="14" t="n">
        <v>3</v>
      </c>
      <c r="C7" s="15" t="n">
        <v>211</v>
      </c>
      <c r="D7" s="24"/>
      <c r="E7" s="17"/>
      <c r="F7" s="19"/>
      <c r="G7" s="17"/>
      <c r="H7" s="17"/>
      <c r="I7" s="17"/>
      <c r="J7" s="17"/>
    </row>
    <row r="8" customFormat="false" ht="15" hidden="false" customHeight="false" outlineLevel="0" collapsed="false">
      <c r="A8" s="14" t="s">
        <v>174</v>
      </c>
      <c r="B8" s="14" t="n">
        <v>4</v>
      </c>
      <c r="C8" s="15" t="n">
        <v>0</v>
      </c>
      <c r="D8" s="24"/>
      <c r="E8" s="17"/>
      <c r="F8" s="19"/>
      <c r="G8" s="17"/>
      <c r="H8" s="17"/>
      <c r="I8" s="17"/>
      <c r="J8" s="17"/>
      <c r="L8" s="16" t="s">
        <v>175</v>
      </c>
      <c r="M8" s="16"/>
    </row>
    <row r="9" customFormat="false" ht="15" hidden="false" customHeight="false" outlineLevel="0" collapsed="false">
      <c r="A9" s="14" t="s">
        <v>176</v>
      </c>
      <c r="B9" s="14" t="n">
        <v>5</v>
      </c>
      <c r="C9" s="15" t="n">
        <v>181</v>
      </c>
      <c r="D9" s="24"/>
      <c r="E9" s="17"/>
      <c r="F9" s="19"/>
      <c r="G9" s="17"/>
      <c r="H9" s="17"/>
      <c r="I9" s="17"/>
      <c r="J9" s="17"/>
      <c r="L9" s="14" t="s">
        <v>177</v>
      </c>
      <c r="M9" s="26"/>
    </row>
    <row r="10" customFormat="false" ht="15" hidden="false" customHeight="false" outlineLevel="0" collapsed="false">
      <c r="A10" s="14" t="s">
        <v>178</v>
      </c>
      <c r="B10" s="14" t="n">
        <v>6</v>
      </c>
      <c r="C10" s="15" t="n">
        <v>0</v>
      </c>
      <c r="D10" s="24"/>
      <c r="E10" s="17"/>
      <c r="F10" s="19"/>
      <c r="G10" s="17"/>
      <c r="H10" s="17"/>
      <c r="I10" s="17"/>
      <c r="J10" s="17"/>
      <c r="L10" s="14" t="s">
        <v>179</v>
      </c>
      <c r="M10" s="26"/>
    </row>
    <row r="11" customFormat="false" ht="15" hidden="false" customHeight="false" outlineLevel="0" collapsed="false">
      <c r="A11" s="14" t="s">
        <v>180</v>
      </c>
      <c r="B11" s="14" t="n">
        <v>7</v>
      </c>
      <c r="C11" s="15" t="n">
        <v>655</v>
      </c>
      <c r="D11" s="24"/>
      <c r="E11" s="17"/>
      <c r="F11" s="19"/>
      <c r="G11" s="17"/>
      <c r="H11" s="17"/>
      <c r="I11" s="17"/>
      <c r="J11" s="17"/>
      <c r="L11" s="14" t="s">
        <v>181</v>
      </c>
      <c r="M11" s="26"/>
    </row>
    <row r="12" customFormat="false" ht="15" hidden="false" customHeight="false" outlineLevel="0" collapsed="false">
      <c r="A12" s="14" t="s">
        <v>182</v>
      </c>
      <c r="B12" s="14" t="n">
        <v>8</v>
      </c>
      <c r="C12" s="15" t="n">
        <v>0</v>
      </c>
      <c r="D12" s="24"/>
      <c r="E12" s="17"/>
      <c r="F12" s="19"/>
      <c r="G12" s="17"/>
      <c r="H12" s="17"/>
      <c r="I12" s="17"/>
      <c r="J12" s="17"/>
      <c r="L12" s="14" t="s">
        <v>183</v>
      </c>
      <c r="M12" s="26"/>
    </row>
    <row r="13" customFormat="false" ht="15" hidden="false" customHeight="false" outlineLevel="0" collapsed="false">
      <c r="A13" s="14" t="s">
        <v>184</v>
      </c>
      <c r="B13" s="14" t="n">
        <v>9</v>
      </c>
      <c r="C13" s="15" t="n">
        <v>101</v>
      </c>
      <c r="D13" s="24"/>
      <c r="E13" s="17"/>
      <c r="F13" s="19"/>
      <c r="G13" s="17"/>
      <c r="H13" s="17"/>
      <c r="I13" s="17"/>
      <c r="J13" s="17"/>
      <c r="L13" s="14" t="s">
        <v>185</v>
      </c>
      <c r="M13" s="26"/>
    </row>
    <row r="14" customFormat="false" ht="15" hidden="false" customHeight="false" outlineLevel="0" collapsed="false">
      <c r="A14" s="14" t="s">
        <v>186</v>
      </c>
      <c r="B14" s="14" t="n">
        <v>10</v>
      </c>
      <c r="C14" s="15" t="n">
        <v>163</v>
      </c>
      <c r="D14" s="24"/>
      <c r="E14" s="17"/>
      <c r="F14" s="19"/>
      <c r="G14" s="17"/>
      <c r="H14" s="17"/>
      <c r="I14" s="17"/>
      <c r="J14" s="17"/>
    </row>
    <row r="15" customFormat="false" ht="15" hidden="false" customHeight="false" outlineLevel="0" collapsed="false">
      <c r="A15" s="14" t="s">
        <v>187</v>
      </c>
      <c r="B15" s="14" t="n">
        <v>11</v>
      </c>
      <c r="C15" s="15" t="n">
        <v>0</v>
      </c>
      <c r="D15" s="24"/>
      <c r="E15" s="17"/>
      <c r="F15" s="19"/>
      <c r="G15" s="17"/>
      <c r="H15" s="17"/>
      <c r="I15" s="17"/>
      <c r="J15" s="17"/>
      <c r="L15" s="2" t="s">
        <v>188</v>
      </c>
    </row>
    <row r="16" customFormat="false" ht="15" hidden="false" customHeight="false" outlineLevel="0" collapsed="false">
      <c r="A16" s="14" t="s">
        <v>189</v>
      </c>
      <c r="B16" s="14" t="n">
        <v>12</v>
      </c>
      <c r="C16" s="15" t="n">
        <v>0</v>
      </c>
      <c r="D16" s="24"/>
      <c r="E16" s="17"/>
      <c r="F16" s="19"/>
      <c r="G16" s="17"/>
      <c r="H16" s="17"/>
      <c r="I16" s="17"/>
      <c r="J16" s="17"/>
      <c r="L16" s="2" t="s">
        <v>190</v>
      </c>
    </row>
    <row r="17" customFormat="false" ht="15" hidden="false" customHeight="false" outlineLevel="0" collapsed="false">
      <c r="A17" s="14" t="s">
        <v>191</v>
      </c>
      <c r="B17" s="14" t="n">
        <v>13</v>
      </c>
      <c r="C17" s="15" t="n">
        <v>116</v>
      </c>
      <c r="D17" s="24"/>
      <c r="E17" s="17"/>
      <c r="F17" s="19"/>
      <c r="G17" s="17"/>
      <c r="H17" s="17"/>
      <c r="I17" s="17"/>
      <c r="J17" s="17"/>
      <c r="L17" s="2" t="s">
        <v>192</v>
      </c>
    </row>
    <row r="18" customFormat="false" ht="15" hidden="false" customHeight="false" outlineLevel="0" collapsed="false">
      <c r="A18" s="14" t="s">
        <v>193</v>
      </c>
      <c r="B18" s="14" t="n">
        <v>14</v>
      </c>
      <c r="C18" s="15" t="n">
        <v>196</v>
      </c>
      <c r="D18" s="24"/>
      <c r="E18" s="17"/>
      <c r="F18" s="19"/>
      <c r="G18" s="17"/>
      <c r="H18" s="17"/>
      <c r="I18" s="17"/>
      <c r="J18" s="17"/>
    </row>
    <row r="19" customFormat="false" ht="15" hidden="false" customHeight="false" outlineLevel="0" collapsed="false">
      <c r="A19" s="14" t="s">
        <v>194</v>
      </c>
      <c r="B19" s="14" t="n">
        <v>15</v>
      </c>
      <c r="C19" s="15" t="n">
        <v>233</v>
      </c>
      <c r="D19" s="24"/>
      <c r="E19" s="17"/>
      <c r="F19" s="19"/>
      <c r="G19" s="17"/>
      <c r="H19" s="17"/>
      <c r="I19" s="17"/>
      <c r="J19" s="17"/>
    </row>
    <row r="20" customFormat="false" ht="15" hidden="false" customHeight="false" outlineLevel="0" collapsed="false">
      <c r="A20" s="14" t="s">
        <v>195</v>
      </c>
      <c r="B20" s="14" t="n">
        <v>16</v>
      </c>
      <c r="C20" s="15" t="n">
        <v>0</v>
      </c>
      <c r="D20" s="24"/>
      <c r="E20" s="17"/>
      <c r="F20" s="19"/>
      <c r="G20" s="17"/>
      <c r="H20" s="17"/>
      <c r="I20" s="17"/>
      <c r="J20" s="17"/>
    </row>
    <row r="21" customFormat="false" ht="15" hidden="false" customHeight="false" outlineLevel="0" collapsed="false">
      <c r="A21" s="14" t="s">
        <v>196</v>
      </c>
      <c r="B21" s="14" t="n">
        <v>17</v>
      </c>
      <c r="C21" s="15" t="n">
        <v>0</v>
      </c>
      <c r="D21" s="24"/>
      <c r="E21" s="17"/>
      <c r="F21" s="19"/>
      <c r="G21" s="17"/>
      <c r="H21" s="17"/>
      <c r="I21" s="17"/>
      <c r="J21" s="17"/>
    </row>
    <row r="22" customFormat="false" ht="15" hidden="false" customHeight="false" outlineLevel="0" collapsed="false">
      <c r="A22" s="14" t="s">
        <v>197</v>
      </c>
      <c r="B22" s="14" t="n">
        <v>18</v>
      </c>
      <c r="C22" s="15" t="n">
        <v>0</v>
      </c>
      <c r="D22" s="24"/>
      <c r="E22" s="17"/>
      <c r="F22" s="19"/>
      <c r="G22" s="17"/>
      <c r="H22" s="17"/>
      <c r="I22" s="17"/>
      <c r="J22" s="17"/>
    </row>
    <row r="23" customFormat="false" ht="15" hidden="false" customHeight="false" outlineLevel="0" collapsed="false">
      <c r="A23" s="14" t="s">
        <v>198</v>
      </c>
      <c r="B23" s="14" t="n">
        <v>19</v>
      </c>
      <c r="C23" s="15" t="n">
        <v>0</v>
      </c>
      <c r="D23" s="24"/>
      <c r="E23" s="17"/>
      <c r="F23" s="19"/>
      <c r="G23" s="17"/>
      <c r="H23" s="17"/>
      <c r="I23" s="17"/>
      <c r="J23" s="17"/>
    </row>
    <row r="24" customFormat="false" ht="15" hidden="false" customHeight="false" outlineLevel="0" collapsed="false">
      <c r="A24" s="14" t="s">
        <v>199</v>
      </c>
      <c r="B24" s="14" t="n">
        <v>20</v>
      </c>
      <c r="C24" s="15" t="n">
        <v>351</v>
      </c>
      <c r="D24" s="24"/>
      <c r="E24" s="17"/>
      <c r="F24" s="19"/>
      <c r="G24" s="17"/>
      <c r="H24" s="17"/>
      <c r="I24" s="17"/>
      <c r="J24" s="17"/>
    </row>
    <row r="25" customFormat="false" ht="15" hidden="false" customHeight="false" outlineLevel="0" collapsed="false">
      <c r="A25" s="14" t="s">
        <v>200</v>
      </c>
      <c r="B25" s="14" t="n">
        <v>21</v>
      </c>
      <c r="C25" s="15" t="n">
        <v>146</v>
      </c>
      <c r="D25" s="24"/>
      <c r="E25" s="17"/>
      <c r="F25" s="19"/>
      <c r="G25" s="17"/>
      <c r="H25" s="17"/>
      <c r="I25" s="17"/>
      <c r="J25" s="17"/>
    </row>
    <row r="26" customFormat="false" ht="15" hidden="false" customHeight="false" outlineLevel="0" collapsed="false">
      <c r="A26" s="14" t="s">
        <v>201</v>
      </c>
      <c r="B26" s="14" t="n">
        <v>22</v>
      </c>
      <c r="C26" s="15" t="n">
        <v>0</v>
      </c>
      <c r="D26" s="24"/>
      <c r="E26" s="17"/>
      <c r="F26" s="19"/>
      <c r="G26" s="17"/>
      <c r="H26" s="17"/>
      <c r="I26" s="17"/>
      <c r="J26" s="17"/>
    </row>
    <row r="27" customFormat="false" ht="15" hidden="false" customHeight="false" outlineLevel="0" collapsed="false">
      <c r="A27" s="14" t="s">
        <v>202</v>
      </c>
      <c r="B27" s="14" t="n">
        <v>23</v>
      </c>
      <c r="C27" s="15" t="n">
        <v>0</v>
      </c>
      <c r="D27" s="24"/>
      <c r="E27" s="17"/>
      <c r="F27" s="19"/>
      <c r="G27" s="17"/>
      <c r="H27" s="17"/>
      <c r="I27" s="17"/>
      <c r="J27" s="17"/>
    </row>
    <row r="28" customFormat="false" ht="15" hidden="false" customHeight="false" outlineLevel="0" collapsed="false">
      <c r="A28" s="14" t="s">
        <v>203</v>
      </c>
      <c r="B28" s="14" t="n">
        <v>24</v>
      </c>
      <c r="C28" s="15" t="n">
        <v>177</v>
      </c>
      <c r="D28" s="24"/>
      <c r="E28" s="17"/>
      <c r="F28" s="19"/>
      <c r="G28" s="17"/>
      <c r="H28" s="17"/>
      <c r="I28" s="17"/>
      <c r="J28" s="17"/>
    </row>
    <row r="29" customFormat="false" ht="15" hidden="false" customHeight="false" outlineLevel="0" collapsed="false">
      <c r="A29" s="14" t="s">
        <v>48</v>
      </c>
      <c r="B29" s="14" t="n">
        <v>25</v>
      </c>
      <c r="C29" s="15" t="n">
        <v>99</v>
      </c>
      <c r="D29" s="24"/>
      <c r="E29" s="17"/>
      <c r="F29" s="19"/>
      <c r="G29" s="17"/>
      <c r="H29" s="17"/>
      <c r="I29" s="17"/>
      <c r="J29" s="17"/>
    </row>
    <row r="30" customFormat="false" ht="15" hidden="false" customHeight="false" outlineLevel="0" collapsed="false">
      <c r="A30" s="14" t="s">
        <v>49</v>
      </c>
      <c r="B30" s="14" t="n">
        <v>26</v>
      </c>
      <c r="C30" s="15" t="n">
        <v>172</v>
      </c>
      <c r="D30" s="24"/>
      <c r="E30" s="17"/>
      <c r="F30" s="19"/>
      <c r="G30" s="17"/>
      <c r="H30" s="17"/>
      <c r="I30" s="17"/>
      <c r="J30" s="17"/>
    </row>
    <row r="31" customFormat="false" ht="15" hidden="false" customHeight="false" outlineLevel="0" collapsed="false">
      <c r="A31" s="14" t="s">
        <v>50</v>
      </c>
      <c r="B31" s="14" t="n">
        <v>27</v>
      </c>
      <c r="C31" s="15" t="n">
        <v>414</v>
      </c>
      <c r="D31" s="24"/>
      <c r="E31" s="17"/>
      <c r="F31" s="19"/>
      <c r="G31" s="17"/>
      <c r="H31" s="17"/>
      <c r="I31" s="17"/>
      <c r="J31" s="17"/>
    </row>
    <row r="32" customFormat="false" ht="15" hidden="false" customHeight="false" outlineLevel="0" collapsed="false">
      <c r="A32" s="14" t="s">
        <v>51</v>
      </c>
      <c r="B32" s="14" t="n">
        <v>28</v>
      </c>
      <c r="C32" s="15" t="n">
        <v>296</v>
      </c>
      <c r="D32" s="24"/>
      <c r="E32" s="17"/>
      <c r="F32" s="19"/>
      <c r="G32" s="17"/>
      <c r="H32" s="17"/>
      <c r="I32" s="17"/>
      <c r="J32" s="17"/>
    </row>
    <row r="33" customFormat="false" ht="15" hidden="false" customHeight="false" outlineLevel="0" collapsed="false">
      <c r="A33" s="14" t="s">
        <v>52</v>
      </c>
      <c r="B33" s="14" t="n">
        <v>29</v>
      </c>
      <c r="C33" s="15" t="n">
        <v>0</v>
      </c>
      <c r="D33" s="24"/>
      <c r="E33" s="17"/>
      <c r="F33" s="19"/>
      <c r="G33" s="17"/>
      <c r="H33" s="17"/>
      <c r="I33" s="17"/>
      <c r="J33" s="17"/>
    </row>
    <row r="34" customFormat="false" ht="15" hidden="false" customHeight="false" outlineLevel="0" collapsed="false">
      <c r="A34" s="14" t="s">
        <v>53</v>
      </c>
      <c r="B34" s="14" t="n">
        <v>30</v>
      </c>
      <c r="C34" s="15" t="n">
        <v>166</v>
      </c>
      <c r="D34" s="24"/>
      <c r="E34" s="17"/>
      <c r="F34" s="19"/>
      <c r="G34" s="17"/>
      <c r="H34" s="17"/>
      <c r="I34" s="17"/>
      <c r="J34" s="17"/>
    </row>
    <row r="35" customFormat="false" ht="15" hidden="false" customHeight="false" outlineLevel="0" collapsed="false">
      <c r="A35" s="14" t="s">
        <v>54</v>
      </c>
      <c r="B35" s="14" t="n">
        <v>31</v>
      </c>
      <c r="C35" s="15" t="n">
        <v>0</v>
      </c>
      <c r="D35" s="24"/>
      <c r="E35" s="17"/>
      <c r="F35" s="19"/>
      <c r="G35" s="17"/>
      <c r="H35" s="17"/>
      <c r="I35" s="17"/>
      <c r="J35" s="17"/>
    </row>
    <row r="36" customFormat="false" ht="15" hidden="false" customHeight="false" outlineLevel="0" collapsed="false">
      <c r="A36" s="14" t="s">
        <v>55</v>
      </c>
      <c r="B36" s="14" t="n">
        <v>32</v>
      </c>
      <c r="C36" s="15" t="n">
        <v>21</v>
      </c>
      <c r="D36" s="24"/>
      <c r="E36" s="17"/>
      <c r="F36" s="19"/>
      <c r="G36" s="17"/>
      <c r="H36" s="17"/>
      <c r="I36" s="17"/>
      <c r="J36" s="17"/>
    </row>
    <row r="37" customFormat="false" ht="15" hidden="false" customHeight="false" outlineLevel="0" collapsed="false">
      <c r="A37" s="14" t="s">
        <v>56</v>
      </c>
      <c r="B37" s="14" t="n">
        <v>33</v>
      </c>
      <c r="C37" s="15" t="n">
        <v>199</v>
      </c>
      <c r="D37" s="24"/>
      <c r="E37" s="17"/>
      <c r="F37" s="19"/>
      <c r="G37" s="17"/>
      <c r="H37" s="17"/>
      <c r="I37" s="17"/>
      <c r="J37" s="17"/>
    </row>
    <row r="38" customFormat="false" ht="15" hidden="false" customHeight="false" outlineLevel="0" collapsed="false">
      <c r="A38" s="14" t="s">
        <v>57</v>
      </c>
      <c r="B38" s="14" t="n">
        <v>34</v>
      </c>
      <c r="C38" s="15" t="n">
        <v>0</v>
      </c>
      <c r="D38" s="24"/>
      <c r="E38" s="17"/>
      <c r="F38" s="19"/>
      <c r="G38" s="17"/>
      <c r="H38" s="17"/>
      <c r="I38" s="17"/>
      <c r="J38" s="17"/>
    </row>
    <row r="39" customFormat="false" ht="15" hidden="false" customHeight="false" outlineLevel="0" collapsed="false">
      <c r="A39" s="14" t="s">
        <v>58</v>
      </c>
      <c r="B39" s="14" t="n">
        <v>35</v>
      </c>
      <c r="C39" s="15" t="n">
        <v>0</v>
      </c>
      <c r="D39" s="24"/>
      <c r="E39" s="17"/>
      <c r="F39" s="19"/>
      <c r="G39" s="17"/>
      <c r="H39" s="17"/>
      <c r="I39" s="17"/>
      <c r="J39" s="17"/>
    </row>
    <row r="40" customFormat="false" ht="15" hidden="false" customHeight="false" outlineLevel="0" collapsed="false">
      <c r="A40" s="14" t="s">
        <v>59</v>
      </c>
      <c r="B40" s="14" t="n">
        <v>36</v>
      </c>
      <c r="C40" s="15" t="n">
        <v>184</v>
      </c>
      <c r="D40" s="24"/>
      <c r="E40" s="17"/>
      <c r="F40" s="19"/>
      <c r="G40" s="17"/>
      <c r="H40" s="17"/>
      <c r="I40" s="17"/>
      <c r="J40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5" min="2" style="0" width="11"/>
  </cols>
  <sheetData>
    <row r="1" customFormat="false" ht="30" hidden="false" customHeight="true" outlineLevel="0" collapsed="false">
      <c r="A1" s="1" t="s">
        <v>204</v>
      </c>
    </row>
    <row r="2" customFormat="false" ht="15" hidden="false" customHeight="false" outlineLevel="0" collapsed="false">
      <c r="A2" s="2" t="s">
        <v>205</v>
      </c>
    </row>
    <row r="4" customFormat="false" ht="30" hidden="false" customHeight="true" outlineLevel="0" collapsed="false">
      <c r="A4" s="6" t="s">
        <v>160</v>
      </c>
      <c r="B4" s="6" t="s">
        <v>206</v>
      </c>
      <c r="C4" s="6" t="s">
        <v>207</v>
      </c>
      <c r="D4" s="6" t="s">
        <v>208</v>
      </c>
      <c r="E4" s="6" t="s">
        <v>209</v>
      </c>
      <c r="F4" s="6" t="s">
        <v>210</v>
      </c>
      <c r="G4" s="6" t="s">
        <v>211</v>
      </c>
      <c r="H4" s="6" t="s">
        <v>212</v>
      </c>
      <c r="I4" s="6" t="s">
        <v>213</v>
      </c>
      <c r="J4" s="6" t="s">
        <v>214</v>
      </c>
      <c r="K4" s="6" t="s">
        <v>215</v>
      </c>
      <c r="L4" s="6" t="s">
        <v>216</v>
      </c>
      <c r="M4" s="6" t="s">
        <v>217</v>
      </c>
      <c r="N4" s="6" t="s">
        <v>218</v>
      </c>
    </row>
    <row r="5" customFormat="false" ht="15" hidden="false" customHeight="false" outlineLevel="0" collapsed="false">
      <c r="A5" s="14" t="s">
        <v>54</v>
      </c>
      <c r="B5" s="27" t="n">
        <v>73549.2098983528</v>
      </c>
      <c r="C5" s="15" t="n">
        <v>44237</v>
      </c>
      <c r="D5" s="15" t="n">
        <v>16595</v>
      </c>
      <c r="E5" s="15" t="n">
        <v>6687</v>
      </c>
      <c r="F5" s="15" t="n">
        <v>3984</v>
      </c>
      <c r="G5" s="17"/>
      <c r="H5" s="17"/>
      <c r="I5" s="17"/>
      <c r="J5" s="17"/>
      <c r="K5" s="27" t="n">
        <v>45491.7311077096</v>
      </c>
      <c r="L5" s="27" t="n">
        <v>17782.1615809966</v>
      </c>
      <c r="M5" s="27" t="n">
        <v>7697.48952099485</v>
      </c>
      <c r="N5" s="27" t="n">
        <v>4105.99338896814</v>
      </c>
    </row>
    <row r="6" customFormat="false" ht="15" hidden="false" customHeight="false" outlineLevel="0" collapsed="false">
      <c r="A6" s="14" t="s">
        <v>55</v>
      </c>
      <c r="B6" s="27" t="n">
        <v>73549.2098983528</v>
      </c>
      <c r="C6" s="15" t="n">
        <v>45996</v>
      </c>
      <c r="D6" s="15" t="n">
        <v>19884</v>
      </c>
      <c r="E6" s="15" t="n">
        <v>6896</v>
      </c>
      <c r="F6" s="15" t="n">
        <v>4818</v>
      </c>
      <c r="G6" s="17"/>
      <c r="H6" s="17"/>
      <c r="I6" s="17"/>
      <c r="J6" s="17"/>
      <c r="K6" s="27" t="n">
        <v>45490.8949204777</v>
      </c>
      <c r="L6" s="27" t="n">
        <v>17781.799855929</v>
      </c>
      <c r="M6" s="27" t="n">
        <v>7738.98492565292</v>
      </c>
      <c r="N6" s="27" t="n">
        <v>4032.21226498863</v>
      </c>
    </row>
    <row r="7" customFormat="false" ht="15" hidden="false" customHeight="false" outlineLevel="0" collapsed="false">
      <c r="A7" s="14" t="s">
        <v>56</v>
      </c>
      <c r="B7" s="27" t="n">
        <v>73549.2098983528</v>
      </c>
      <c r="C7" s="15" t="n">
        <v>44430</v>
      </c>
      <c r="D7" s="15" t="n">
        <v>20693</v>
      </c>
      <c r="E7" s="15" t="n">
        <v>7737</v>
      </c>
      <c r="F7" s="15" t="n">
        <v>4604</v>
      </c>
      <c r="G7" s="17"/>
      <c r="H7" s="17"/>
      <c r="I7" s="17"/>
      <c r="J7" s="17"/>
      <c r="K7" s="27" t="n">
        <v>45490.2259706922</v>
      </c>
      <c r="L7" s="27" t="n">
        <v>17781.5063967572</v>
      </c>
      <c r="M7" s="27" t="n">
        <v>7774.04124226809</v>
      </c>
      <c r="N7" s="27" t="n">
        <v>3959.90676348871</v>
      </c>
    </row>
    <row r="8" customFormat="false" ht="15" hidden="false" customHeight="false" outlineLevel="0" collapsed="false">
      <c r="A8" s="14" t="s">
        <v>57</v>
      </c>
      <c r="B8" s="27" t="n">
        <v>73549.2098983528</v>
      </c>
      <c r="C8" s="15" t="n">
        <v>42911</v>
      </c>
      <c r="D8" s="15" t="n">
        <v>16449</v>
      </c>
      <c r="E8" s="15" t="n">
        <v>8871</v>
      </c>
      <c r="F8" s="15" t="n">
        <v>3822</v>
      </c>
      <c r="G8" s="17"/>
      <c r="H8" s="17"/>
      <c r="I8" s="17"/>
      <c r="J8" s="17"/>
      <c r="K8" s="27" t="n">
        <v>45489.6908108638</v>
      </c>
      <c r="L8" s="27" t="n">
        <v>17781.268320126</v>
      </c>
      <c r="M8" s="27" t="n">
        <v>7803.6576623211</v>
      </c>
      <c r="N8" s="27" t="n">
        <v>3889.04737201879</v>
      </c>
    </row>
    <row r="9" customFormat="false" ht="15" hidden="false" customHeight="false" outlineLevel="0" collapsed="false">
      <c r="A9" s="14" t="s">
        <v>58</v>
      </c>
      <c r="B9" s="27" t="n">
        <v>73549.2098983528</v>
      </c>
      <c r="C9" s="15" t="n">
        <v>41679</v>
      </c>
      <c r="D9" s="15" t="n">
        <v>18455</v>
      </c>
      <c r="E9" s="15" t="n">
        <v>8539</v>
      </c>
      <c r="F9" s="15" t="n">
        <v>3802</v>
      </c>
      <c r="G9" s="17"/>
      <c r="H9" s="17"/>
      <c r="I9" s="17"/>
      <c r="J9" s="17"/>
      <c r="K9" s="27" t="n">
        <v>45489.2626830011</v>
      </c>
      <c r="L9" s="27" t="n">
        <v>17781.0751740676</v>
      </c>
      <c r="M9" s="27" t="n">
        <v>7828.67832682459</v>
      </c>
      <c r="N9" s="27" t="n">
        <v>3819.60516837827</v>
      </c>
    </row>
    <row r="10" customFormat="false" ht="15" hidden="false" customHeight="false" outlineLevel="0" collapsed="false">
      <c r="A10" s="14" t="s">
        <v>59</v>
      </c>
      <c r="B10" s="27" t="n">
        <v>73549.2098983528</v>
      </c>
      <c r="C10" s="15" t="n">
        <v>48338</v>
      </c>
      <c r="D10" s="15" t="n">
        <v>20273</v>
      </c>
      <c r="E10" s="15" t="n">
        <v>7611</v>
      </c>
      <c r="F10" s="15" t="n">
        <v>3116</v>
      </c>
      <c r="G10" s="17"/>
      <c r="H10" s="17"/>
      <c r="I10" s="17"/>
      <c r="J10" s="17"/>
      <c r="K10" s="27" t="n">
        <v>45488.9201807109</v>
      </c>
      <c r="L10" s="27" t="n">
        <v>17780.9184791427</v>
      </c>
      <c r="M10" s="27" t="n">
        <v>7849.81638642382</v>
      </c>
      <c r="N10" s="27" t="n">
        <v>3751.55180881056</v>
      </c>
    </row>
    <row r="12" customFormat="false" ht="15" hidden="false" customHeight="false" outlineLevel="0" collapsed="false">
      <c r="A12" s="7" t="s">
        <v>219</v>
      </c>
      <c r="G12" s="28" t="n">
        <v>0.592348538873085</v>
      </c>
      <c r="H12" s="28" t="n">
        <v>0.249842856681956</v>
      </c>
      <c r="I12" s="28" t="n">
        <v>0.0915725568246926</v>
      </c>
      <c r="J12" s="28" t="n">
        <v>0.0662360476202661</v>
      </c>
    </row>
    <row r="14" customFormat="false" ht="15" hidden="false" customHeight="false" outlineLevel="0" collapsed="false">
      <c r="A14" s="3" t="s">
        <v>220</v>
      </c>
    </row>
    <row r="15" customFormat="false" ht="15" hidden="false" customHeight="false" outlineLevel="0" collapsed="false">
      <c r="A15" s="6"/>
      <c r="B15" s="6" t="s">
        <v>221</v>
      </c>
      <c r="C15" s="6" t="s">
        <v>222</v>
      </c>
    </row>
    <row r="16" customFormat="false" ht="15" hidden="false" customHeight="false" outlineLevel="0" collapsed="false">
      <c r="A16" s="7" t="s">
        <v>62</v>
      </c>
      <c r="B16" s="18"/>
      <c r="C16" s="18"/>
    </row>
    <row r="17" customFormat="false" ht="15" hidden="false" customHeight="false" outlineLevel="0" collapsed="false">
      <c r="A17" s="7" t="s">
        <v>70</v>
      </c>
      <c r="B17" s="18"/>
      <c r="C17" s="18"/>
    </row>
    <row r="18" customFormat="false" ht="15" hidden="false" customHeight="false" outlineLevel="0" collapsed="false">
      <c r="A18" s="7" t="s">
        <v>72</v>
      </c>
      <c r="B18" s="18"/>
      <c r="C18" s="18"/>
    </row>
    <row r="19" customFormat="false" ht="15" hidden="false" customHeight="false" outlineLevel="0" collapsed="false">
      <c r="A19" s="7" t="s">
        <v>92</v>
      </c>
      <c r="B19" s="18"/>
      <c r="C19" s="18"/>
    </row>
    <row r="21" customFormat="false" ht="15" hidden="false" customHeight="false" outlineLevel="0" collapsed="false">
      <c r="A21" s="2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7" min="6" style="0" width="30"/>
  </cols>
  <sheetData>
    <row r="1" customFormat="false" ht="30" hidden="false" customHeight="true" outlineLevel="0" collapsed="false">
      <c r="A1" s="1" t="s">
        <v>224</v>
      </c>
    </row>
    <row r="2" customFormat="false" ht="15" hidden="false" customHeight="false" outlineLevel="0" collapsed="false">
      <c r="A2" s="2" t="s">
        <v>225</v>
      </c>
    </row>
    <row r="4" customFormat="false" ht="15" hidden="false" customHeight="false" outlineLevel="0" collapsed="false">
      <c r="A4" s="7" t="s">
        <v>226</v>
      </c>
      <c r="B4" s="10"/>
      <c r="D4" s="7" t="s">
        <v>227</v>
      </c>
      <c r="E4" s="10"/>
    </row>
    <row r="6" customFormat="false" ht="36" hidden="false" customHeight="true" outlineLevel="0" collapsed="false">
      <c r="A6" s="6" t="s">
        <v>228</v>
      </c>
      <c r="B6" s="6" t="s">
        <v>229</v>
      </c>
      <c r="C6" s="6" t="s">
        <v>230</v>
      </c>
      <c r="D6" s="6" t="s">
        <v>231</v>
      </c>
      <c r="E6" s="6" t="s">
        <v>232</v>
      </c>
      <c r="F6" s="6" t="s">
        <v>233</v>
      </c>
      <c r="G6" s="6" t="s">
        <v>234</v>
      </c>
    </row>
    <row r="7" customFormat="false" ht="23.85" hidden="false" customHeight="false" outlineLevel="0" collapsed="false">
      <c r="A7" s="8" t="s">
        <v>235</v>
      </c>
      <c r="B7" s="8" t="s">
        <v>154</v>
      </c>
      <c r="C7" s="8" t="s">
        <v>150</v>
      </c>
      <c r="D7" s="8" t="s">
        <v>236</v>
      </c>
      <c r="E7" s="8" t="s">
        <v>237</v>
      </c>
      <c r="F7" s="8" t="s">
        <v>238</v>
      </c>
      <c r="G7" s="8" t="s">
        <v>239</v>
      </c>
    </row>
    <row r="8" customFormat="false" ht="15" hidden="false" customHeight="false" outlineLevel="0" collapsed="false">
      <c r="A8" s="29"/>
      <c r="B8" s="29"/>
      <c r="C8" s="29"/>
      <c r="D8" s="29"/>
      <c r="E8" s="29"/>
      <c r="F8" s="29"/>
      <c r="G8" s="29"/>
    </row>
    <row r="9" customFormat="false" ht="15" hidden="false" customHeight="false" outlineLevel="0" collapsed="false">
      <c r="A9" s="29"/>
      <c r="B9" s="29"/>
      <c r="C9" s="29"/>
      <c r="D9" s="29"/>
      <c r="E9" s="29"/>
      <c r="F9" s="29"/>
      <c r="G9" s="29"/>
    </row>
    <row r="10" customFormat="false" ht="15" hidden="false" customHeight="false" outlineLevel="0" collapsed="false">
      <c r="A10" s="29"/>
      <c r="B10" s="29"/>
      <c r="C10" s="29"/>
      <c r="D10" s="29"/>
      <c r="E10" s="29"/>
      <c r="F10" s="29"/>
      <c r="G10" s="29"/>
    </row>
    <row r="11" customFormat="false" ht="15" hidden="false" customHeight="false" outlineLevel="0" collapsed="false">
      <c r="A11" s="29"/>
      <c r="B11" s="29"/>
      <c r="C11" s="29"/>
      <c r="D11" s="29"/>
      <c r="E11" s="29"/>
      <c r="F11" s="29"/>
      <c r="G11" s="29"/>
    </row>
    <row r="12" customFormat="false" ht="15" hidden="false" customHeight="false" outlineLevel="0" collapsed="false">
      <c r="A12" s="29"/>
      <c r="B12" s="29"/>
      <c r="C12" s="29"/>
      <c r="D12" s="29"/>
      <c r="E12" s="29"/>
      <c r="F12" s="29"/>
      <c r="G12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2026-10-24T23:10:13Z</dcterms:created>
  <dc:creator>openpyxl</dc:creator>
  <dc:description/>
  <dc:language>en-US</dc:language>
  <cp:lastModifiedBy/>
  <dcterms:modified xsi:type="dcterms:W3CDTF">2026-10-24T23:10:14Z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