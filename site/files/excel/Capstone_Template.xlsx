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HuongDan" sheetId="1" state="visible" r:id="rId3"/>
    <sheet name="Data" sheetId="2" state="visible" r:id="rId4"/>
    <sheet name="01_Portfolio" sheetId="3" state="visible" r:id="rId5"/>
    <sheet name="02_NhatKy_LamSach" sheetId="4" state="visible" r:id="rId6"/>
    <sheet name="03_ChonMoHinh" sheetId="5" state="visible" r:id="rId7"/>
    <sheet name="04_DuBao_12T" sheetId="6" state="visible" r:id="rId8"/>
    <sheet name="05_GiaDinh" sheetId="7" state="visible" r:id="rId9"/>
    <sheet name="06_TonKho" sheetId="8" state="visible" r:id="rId10"/>
    <sheet name="07_BanGiao_PP" sheetId="9" state="visible" r:id="rId11"/>
    <sheet name="08_SOP_1Trang" sheetId="10" state="visible" r:id="rId12"/>
    <sheet name="09_TuKiemTra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<sst xmlns="http://schemas.openxmlformats.org/spreadsheetml/2006/main" count="351" uniqueCount="217">
  <si>
    <t xml:space="preserve">BUỔI 10 · DỰ ÁN CUỐI KHÓA — CHU KỲ DỰ BÁO THÁNG</t>
  </si>
  <si>
    <t xml:space="preserve">ERX · Demand Planning &amp; Forecasting in Practice · BẢN HỌC VIÊN · Thư Nguyễn · thu.minh090997@gmail.com</t>
  </si>
  <si>
    <t xml:space="preserve">Mục tiêu</t>
  </si>
  <si>
    <t xml:space="preserve">•</t>
  </si>
  <si>
    <t xml:space="preserve">Chạy trọn một chu kỳ dự báo hằng tháng cho 6 chuỗi SKU × kênh của portfolio được giao.</t>
  </si>
  <si>
    <t xml:space="preserve">Chọn mô hình bằng sai số ngoài mẫu, đắp thông tin kinh doanh có ghi giả định, tính tồn kho an toàn.</t>
  </si>
  <si>
    <t xml:space="preserve">Bàn giao kế hoạch nhu cầu CHƯA giới hạn năng lực cho module Production Planning và tóm tắt S&amp;OP 1 trang.</t>
  </si>
  <si>
    <t xml:space="preserve">Nhiệm vụ</t>
  </si>
  <si>
    <t xml:space="preserve">Sheet</t>
  </si>
  <si>
    <t xml:space="preserve">Việc cần làm</t>
  </si>
  <si>
    <t xml:space="preserve">Thời lượng</t>
  </si>
  <si>
    <t xml:space="preserve">01_Portfolio</t>
  </si>
  <si>
    <t xml:space="preserve">Chọn 6 chuỗi ở ô vàng (danh sách thả xuống) → 36 tháng nhu cầu tự hiện ra.</t>
  </si>
  <si>
    <t xml:space="preserve">Tuần 7</t>
  </si>
  <si>
    <t xml:space="preserve">02_NhatKy_LamSach</t>
  </si>
  <si>
    <t xml:space="preserve">Ghi mọi điều chỉnh dữ liệu (bạn có thể dùng dữ liệu gốc sales_history thay vì bản sạch — được cộng điểm).</t>
  </si>
  <si>
    <t xml:space="preserve">Tuần 7–8</t>
  </si>
  <si>
    <t xml:space="preserve">03_ChonMoHinh</t>
  </si>
  <si>
    <t xml:space="preserve">Ít nhất 3 phương pháp/chuỗi (gồm 1 mốc Naive/Seasonal Naive); WMAPE, Bias, MASE trên 6 tháng test; phương pháp chọn + lý do.</t>
  </si>
  <si>
    <t xml:space="preserve">Tuần 8</t>
  </si>
  <si>
    <t xml:space="preserve">04_DuBao_12T</t>
  </si>
  <si>
    <t xml:space="preserve">Dự báo thống kê 10/2026–09/2027, điều chỉnh (KM, Tết, sự kiện) có mã giả định, số đồng thuận.</t>
  </si>
  <si>
    <t xml:space="preserve">Tuần 8–9</t>
  </si>
  <si>
    <t xml:space="preserve">05_GiaDinh</t>
  </si>
  <si>
    <t xml:space="preserve">Nhật ký giả định: mỗi điều chỉnh một dòng, có nguồn/bằng chứng.</t>
  </si>
  <si>
    <t xml:space="preserve">Tuần 9</t>
  </si>
  <si>
    <t xml:space="preserve">06_TonKho</t>
  </si>
  <si>
    <t xml:space="preserve">σ sai số ngoài mẫu, lead time, mức phục vụ, Safety Stock, ROP.</t>
  </si>
  <si>
    <t xml:space="preserve">07_BanGiao_PP</t>
  </si>
  <si>
    <t xml:space="preserve">File bàn giao cho Production Planning (tự động lấy từ sheet 04 và 06) + ghi chú rủi ro.</t>
  </si>
  <si>
    <t xml:space="preserve">Tuần 10</t>
  </si>
  <si>
    <t xml:space="preserve">08_SOP_1Trang</t>
  </si>
  <si>
    <t xml:space="preserve">Tóm tắt S&amp;OP: sản lượng → giá trị, 3 rủi ro/cơ hội, quyết định cần lãnh đạo chốt.</t>
  </si>
  <si>
    <t xml:space="preserve">09_TuKiemTra</t>
  </si>
  <si>
    <t xml:space="preserve">Tự chấm theo rubric trước khi nộp.</t>
  </si>
  <si>
    <t xml:space="preserve">Trước hạn</t>
  </si>
  <si>
    <t xml:space="preserve">Dữ liệu</t>
  </si>
  <si>
    <t xml:space="preserve">demand_clean (36 tháng, đã làm sạch, cột demand_ex_event), promo_calendar, calendar, sku_master.</t>
  </si>
  <si>
    <t xml:space="preserve">Quy ước màu</t>
  </si>
  <si>
    <t xml:space="preserve">Ví dụ 123</t>
  </si>
  <si>
    <t xml:space="preserve">Ô nhiệm vụ: học viên điền công thức (rê chuột xem gợi ý trong comment)</t>
  </si>
  <si>
    <t xml:space="preserve">Chữ xanh dương trên nền vàng: tham số/giả định có thể thay đổi</t>
  </si>
  <si>
    <t xml:space="preserve">Nền xanh nhạt: công thức đáp án (chỉ có ở bản đáp án)</t>
  </si>
  <si>
    <t xml:space="preserve">Chữ xanh lá: liên kết từ sheet khác</t>
  </si>
  <si>
    <t xml:space="preserve">Ghi chú</t>
  </si>
  <si>
    <t xml:space="preserve">Portfolio P1–P6 do giảng viên giao (xem Capstone_Brief). Phương án B: dữ liệu công ty đã ẩn danh — phải được duyệt ở Bài tập 7.</t>
  </si>
  <si>
    <t xml:space="preserve">Có thể làm bằng Excel, Forecasting Lab hoặc Python — nhưng con số cuối phải nằm trong file này.</t>
  </si>
  <si>
    <t xml:space="preserve">Nộp: file này + báo cáo 6–8 trang + slide 8 phút, trước Buổi 10 ít nhất 48 giờ.</t>
  </si>
  <si>
    <t xml:space="preserve">Quy ước toàn khóa: e = Actual − Forecast (e &gt; 0: dự báo thấp). Tiền: nghìn đồng nếu không ghi khác. Dữ liệu Mekong Bloom Foods là công ty GIẢ ĐỊNH phục vụ giảng dạy.</t>
  </si>
  <si>
    <t xml:space="preserve">Tháng</t>
  </si>
  <si>
    <t xml:space="preserve">N01|GT</t>
  </si>
  <si>
    <t xml:space="preserve">N01|MT</t>
  </si>
  <si>
    <t xml:space="preserve">N02|GT</t>
  </si>
  <si>
    <t xml:space="preserve">N02|MT</t>
  </si>
  <si>
    <t xml:space="preserve">N03|GT</t>
  </si>
  <si>
    <t xml:space="preserve">N03|MT</t>
  </si>
  <si>
    <t xml:space="preserve">N04|GT</t>
  </si>
  <si>
    <t xml:space="preserve">N04|MT</t>
  </si>
  <si>
    <t xml:space="preserve">N05|GT</t>
  </si>
  <si>
    <t xml:space="preserve">N05|MT</t>
  </si>
  <si>
    <t xml:space="preserve">S01|GT</t>
  </si>
  <si>
    <t xml:space="preserve">S01|MT</t>
  </si>
  <si>
    <t xml:space="preserve">S02|GT</t>
  </si>
  <si>
    <t xml:space="preserve">S02|MT</t>
  </si>
  <si>
    <t xml:space="preserve">S03|GT</t>
  </si>
  <si>
    <t xml:space="preserve">S03|MT</t>
  </si>
  <si>
    <t xml:space="preserve">S04|GT</t>
  </si>
  <si>
    <t xml:space="preserve">S04|MT</t>
  </si>
  <si>
    <t xml:space="preserve">S05|GT</t>
  </si>
  <si>
    <t xml:space="preserve">S05|MT</t>
  </si>
  <si>
    <t xml:space="preserve">S06|GT</t>
  </si>
  <si>
    <t xml:space="preserve">S06|MT</t>
  </si>
  <si>
    <t xml:space="preserve">B01|GT</t>
  </si>
  <si>
    <t xml:space="preserve">B01|MT</t>
  </si>
  <si>
    <t xml:space="preserve">B02|GT</t>
  </si>
  <si>
    <t xml:space="preserve">B02|MT</t>
  </si>
  <si>
    <t xml:space="preserve">B03|GT</t>
  </si>
  <si>
    <t xml:space="preserve">B03|MT</t>
  </si>
  <si>
    <t xml:space="preserve">B04|GT</t>
  </si>
  <si>
    <t xml:space="preserve">B04|MT</t>
  </si>
  <si>
    <t xml:space="preserve">B05|GT</t>
  </si>
  <si>
    <t xml:space="preserve">B05|MT</t>
  </si>
  <si>
    <t xml:space="preserve">K01|GT</t>
  </si>
  <si>
    <t xml:space="preserve">K01|MT</t>
  </si>
  <si>
    <t xml:space="preserve">K02|GT</t>
  </si>
  <si>
    <t xml:space="preserve">K02|MT</t>
  </si>
  <si>
    <t xml:space="preserve">K03|GT</t>
  </si>
  <si>
    <t xml:space="preserve">K03|MT</t>
  </si>
  <si>
    <t xml:space="preserve">K04|MT</t>
  </si>
  <si>
    <t xml:space="preserve">H01|GT</t>
  </si>
  <si>
    <t xml:space="preserve">H02|GT</t>
  </si>
  <si>
    <t xml:space="preserve">H03|GT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</si>
  <si>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</si>
  <si>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</si>
  <si>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</si>
  <si>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</si>
  <si>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</si>
  <si>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</si>
  <si>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</si>
  <si>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</si>
  <si>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</si>
  <si>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</si>
  <si>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</si>
  <si>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</si>
  <si>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</si>
  <si>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</si>
  <si>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</si>
  <si>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</si>
  <si>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</si>
  <si>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</si>
  <si>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</si>
  <si>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</si>
  <si>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</si>
  <si>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</si>
  <si>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</si>
  <si>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</si>
  <si>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</si>
  <si>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</si>
  <si>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</si>
  <si>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</si>
  <si>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</si>
  <si>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</si>
  <si>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</si>
  <si>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</si>
  <si>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</si>
  <si>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</si>
  <si>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</si>
  <si>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</si>
  <si>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Giá NPP</t>
  </si>
  <si>
    <t xml:space="preserve">Lead time (tuần)</t>
  </si>
  <si>
    <t xml:space="preserve">01 · Portfolio của tôi</t>
  </si>
  <si>
    <t xml:space="preserve">Chọn chuỗi ở hàng 5 (ô vàng). Dữ liệu 36 tháng lấy tự động từ sheet Data bằng INDEX/MATCH.</t>
  </si>
  <si>
    <t xml:space="preserve">Họ tên / Portfolio</t>
  </si>
  <si>
    <t xml:space="preserve">Chuỗi</t>
  </si>
  <si>
    <t xml:space="preserve">Chuỗi 1</t>
  </si>
  <si>
    <t xml:space="preserve">Chuỗi 2</t>
  </si>
  <si>
    <t xml:space="preserve">Chuỗi 3</t>
  </si>
  <si>
    <t xml:space="preserve">Chuỗi 4</t>
  </si>
  <si>
    <t xml:space="preserve">Chuỗi 5</t>
  </si>
  <si>
    <t xml:space="preserve">Chuỗi 6</t>
  </si>
  <si>
    <t xml:space="preserve">Trung bình 12T</t>
  </si>
  <si>
    <t xml:space="preserve">CV 12T</t>
  </si>
  <si>
    <t xml:space="preserve">% tháng = 0</t>
  </si>
  <si>
    <t xml:space="preserve">02 · Nhật ký làm sạch dữ liệu</t>
  </si>
  <si>
    <t xml:space="preserve">Nếu dùng bản demand_clean của lớp: ghi lại những điều chỉnh đã có trong bản đó liên quan đến portfolio của bạn.</t>
  </si>
  <si>
    <t xml:space="preserve">Số gốc</t>
  </si>
  <si>
    <t xml:space="preserve">Số sau</t>
  </si>
  <si>
    <t xml:space="preserve">Quy tắc</t>
  </si>
  <si>
    <t xml:space="preserve">Lý do</t>
  </si>
  <si>
    <t xml:space="preserve">Bằng chứng</t>
  </si>
  <si>
    <t xml:space="preserve">03 · Chọn mô hình bằng sai số ngoài mẫu (6 tháng test 04–09/2026)</t>
  </si>
  <si>
    <t xml:space="preserve">Mỗi chuỗi ≥ 3 phương pháp, gồm 1 mốc. Ghi phương pháp chọn ở cột F của dòng đầu mỗi chuỗi.</t>
  </si>
  <si>
    <t xml:space="preserve">Phương pháp</t>
  </si>
  <si>
    <t xml:space="preserve">WMAPE</t>
  </si>
  <si>
    <t xml:space="preserve">Bias%</t>
  </si>
  <si>
    <t xml:space="preserve">MASE</t>
  </si>
  <si>
    <t xml:space="preserve">Chọn?</t>
  </si>
  <si>
    <t xml:space="preserve">Lý do (ngắn)</t>
  </si>
  <si>
    <t xml:space="preserve">04 · Dự báo 12 tháng và số đồng thuận (CHƯA giới hạn năng lực)</t>
  </si>
  <si>
    <t xml:space="preserve">Đồng thuận = Thống kê + Điều chỉnh. Mỗi điều chỉnh ≠ 0 phải có mã giả định (sheet 05).</t>
  </si>
  <si>
    <t xml:space="preserve">Thống kê</t>
  </si>
  <si>
    <t xml:space="preserve">Điều chỉnh</t>
  </si>
  <si>
    <t xml:space="preserve">Đồng thuận</t>
  </si>
  <si>
    <t xml:space="preserve">Mã giả định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</si>
  <si>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</si>
  <si>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</si>
  <si>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</si>
  <si>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</si>
  <si>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</si>
  <si>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</si>
  <si>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2027-04</t>
  </si>
  <si>
    <t xml:space="preserve">2027-05</t>
  </si>
  <si>
    <t xml:space="preserve">2027-06</t>
  </si>
  <si>
    <t xml:space="preserve">2027-07</t>
  </si>
  <si>
    <t xml:space="preserve">2027-08</t>
  </si>
  <si>
    <t xml:space="preserve">2027-09</t>
  </si>
  <si>
    <t xml:space="preserve">05 · Nhật ký giả định</t>
  </si>
  <si>
    <t xml:space="preserve">Phân biệt rõ: dữ kiện lịch sử / nhận định thị trường / giả định lập kế hoạch.</t>
  </si>
  <si>
    <t xml:space="preserve">Mã</t>
  </si>
  <si>
    <t xml:space="preserve">Giả định</t>
  </si>
  <si>
    <t xml:space="preserve">Nguồn / bằng chứng</t>
  </si>
  <si>
    <t xml:space="preserve">Loại</t>
  </si>
  <si>
    <t xml:space="preserve">06 · Tồn kho an toàn &amp; ROP</t>
  </si>
  <si>
    <t xml:space="preserve">σ = RMSE dự báo 1 bước cuốn chiếu 12 tháng cuối (ngoài mẫu). Lead time lấy từ sku_master.</t>
  </si>
  <si>
    <t xml:space="preserve">Mức phục vụ</t>
  </si>
  <si>
    <t xml:space="preserve">z</t>
  </si>
  <si>
    <t xml:space="preserve">σ sai số</t>
  </si>
  <si>
    <t xml:space="preserve">L (tháng)</t>
  </si>
  <si>
    <t xml:space="preserve">SS</t>
  </si>
  <si>
    <t xml:space="preserve">Dự báo T10</t>
  </si>
  <si>
    <t xml:space="preserve">ROP</t>
  </si>
  <si>
    <t xml:space="preserve">07 · Bàn giao cho module Production Planning</t>
  </si>
  <si>
    <t xml:space="preserve">Định dạng thống nhất với giảng viên Production Planning. Số = nhu cầu đồng thuận CHƯA giới hạn năng lực.</t>
  </si>
  <si>
    <t xml:space="preserve">Nhu cầu đồng thuận</t>
  </si>
  <si>
    <t xml:space="preserve">Safety Stock</t>
  </si>
  <si>
    <t xml:space="preserve">Giả định / rủi ro</t>
  </si>
  <si>
    <t xml:space="preserve">08 · Tóm tắt S&amp;OP 1 trang</t>
  </si>
  <si>
    <t xml:space="preserve">Doanh thu theo giá NPP (triệu đồng). Viết 3 rủi ro/cơ hội và quyết định cần lãnh đạo chốt.</t>
  </si>
  <si>
    <t xml:space="preserve">Tổng 12T</t>
  </si>
  <si>
    <t xml:space="preserve">Tổng</t>
  </si>
  <si>
    <t xml:space="preserve">Rủi ro / cơ hội 1</t>
  </si>
  <si>
    <t xml:space="preserve">Rủi ro / cơ hội 2</t>
  </si>
  <si>
    <t xml:space="preserve">Rủi ro / cơ hội 3</t>
  </si>
  <si>
    <t xml:space="preserve">Quyết định cần chốt</t>
  </si>
  <si>
    <t xml:space="preserve">09 · Tự kiểm tra trước khi nộp</t>
  </si>
  <si>
    <t xml:space="preserve">Đánh dấu ✔ khi đạt.</t>
  </si>
  <si>
    <t xml:space="preserve">Tiêu chí</t>
  </si>
  <si>
    <t xml:space="preserve">Đạt?</t>
  </si>
  <si>
    <t xml:space="preserve">Dữ liệu: mọi điều chỉnh có trong nhật ký, không sửa đè số gốc</t>
  </si>
  <si>
    <t xml:space="preserve">Mỗi chuỗi có ≥ 3 phương pháp, có mốc Naive/Seasonal Naive, chấm trên 6 tháng test</t>
  </si>
  <si>
    <t xml:space="preserve">Không tối ưu tham số trên dữ liệu test; không dùng biến tương lai chưa biết</t>
  </si>
  <si>
    <t xml:space="preserve">Tết 2027 đã được xem xét cho mã nhạy Tết; KM đã duyệt đã được đưa vào có giả định</t>
  </si>
  <si>
    <t xml:space="preserve">Mọi điều chỉnh ≠ 0 có mã giả định và nguồn</t>
  </si>
  <si>
    <t xml:space="preserve">σ là sai số ngoài mẫu (không phải độ lệch chuẩn nhu cầu); SS và ROP có đơn vị đúng</t>
  </si>
  <si>
    <t xml:space="preserve">File bàn giao đủ 72 dòng (6 chuỗi × 12 tháng), số chưa giới hạn năng lực</t>
  </si>
  <si>
    <t xml:space="preserve">Tóm tắt S&amp;OP: có giá trị tiền, 3 rủi ro/cơ hội, quyết định cần chốt</t>
  </si>
  <si>
    <t xml:space="preserve">Báo cáo 6–8 trang theo cấu trúc kim tự tháp ngược; slide ≤ 8 phút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</si>
</sst>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"/>
    <numFmt numFmtId="167" formatCode="0%"/>
    <numFmt numFmtId="168" formatCode="0.000"/>
    <numFmt numFmtId="169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421"/>
      <name val="Arial"/>
      <family val="0"/>
      <charset val="1"/>
    </font>
    <font>
      <i val="true"/>
      <sz val="9"/>
      <color rgb="FF76777B"/>
      <name val="Arial"/>
      <family val="0"/>
      <charset val="1"/>
    </font>
    <font>
      <b val="true"/>
      <sz val="11"/>
      <color rgb="FF01AE4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1AE42"/>
        <bgColor rgb="FF008080"/>
      </patternFill>
    </fill>
    <fill>
      <patternFill patternType="solid">
        <fgColor rgb="FFFFF2CC"/>
        <bgColor rgb="FFEAF7EF"/>
      </patternFill>
    </fill>
    <fill>
      <patternFill patternType="solid">
        <fgColor rgb="FFEAF7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D0"/>
      </left>
      <right style="thin">
        <color rgb="FFD0D4D0"/>
      </right>
      <top style="thin">
        <color rgb="FFD0D4D0"/>
      </top>
      <bottom style="thin">
        <color rgb="FFD0D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77B"/>
      <rgbColor rgb="FF9999FF"/>
      <rgbColor rgb="FF993366"/>
      <rgbColor rgb="FFFFF2CC"/>
      <rgbColor rgb="FFEAF7EF"/>
      <rgbColor rgb="FF660066"/>
      <rgbColor rgb="FFFF8080"/>
      <rgbColor rgb="FF0066CC"/>
      <rgbColor rgb="FFD0D4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1AE42"/>
      <rgbColor rgb="FF003300"/>
      <rgbColor rgb="FF333300"/>
      <rgbColor rgb="FF993300"/>
      <rgbColor rgb="FF993366"/>
      <rgbColor rgb="FF333399"/>
      <rgbColor rgb="FF1F24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1076040</xdr:colOff>
      <xdr:row>0</xdr:row>
      <xdr:rowOff>361440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81880" y="0"/>
          <a:ext cx="1076040" cy="361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16"/>
  </cols>
  <sheetData>
    <row r="1" customFormat="false" ht="33.75" hidden="false" customHeight="true" outlineLevel="0" collapsed="false"/>
    <row r="3" customFormat="false" ht="19.7" hidden="false" customHeight="false" outlineLevel="0" collapsed="false">
      <c r="B3" s="1" t="s">
        <v>0</v>
      </c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7" customFormat="false" ht="23.85" hidden="false" customHeight="false" outlineLevel="0" collapsed="false">
      <c r="B7" s="4" t="s">
        <v>3</v>
      </c>
      <c r="C7" s="5" t="s">
        <v>4</v>
      </c>
    </row>
    <row r="8" customFormat="false" ht="23.85" hidden="false" customHeight="false" outlineLevel="0" collapsed="false">
      <c r="B8" s="4" t="s">
        <v>3</v>
      </c>
      <c r="C8" s="5" t="s">
        <v>5</v>
      </c>
    </row>
    <row r="9" customFormat="false" ht="23.85" hidden="false" customHeight="false" outlineLevel="0" collapsed="false">
      <c r="B9" s="4" t="s">
        <v>3</v>
      </c>
      <c r="C9" s="5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6" t="s">
        <v>8</v>
      </c>
      <c r="C12" s="6" t="s">
        <v>9</v>
      </c>
      <c r="D12" s="6" t="s">
        <v>10</v>
      </c>
    </row>
    <row r="13" customFormat="false" ht="30" hidden="false" customHeight="true" outlineLevel="0" collapsed="false">
      <c r="B13" s="7" t="s">
        <v>11</v>
      </c>
      <c r="C13" s="8" t="s">
        <v>12</v>
      </c>
      <c r="D13" s="9" t="s">
        <v>13</v>
      </c>
    </row>
    <row r="14" customFormat="false" ht="30" hidden="false" customHeight="true" outlineLevel="0" collapsed="false">
      <c r="B14" s="7" t="s">
        <v>14</v>
      </c>
      <c r="C14" s="8" t="s">
        <v>15</v>
      </c>
      <c r="D14" s="9" t="s">
        <v>16</v>
      </c>
    </row>
    <row r="15" customFormat="false" ht="30" hidden="false" customHeight="true" outlineLevel="0" collapsed="false">
      <c r="B15" s="7" t="s">
        <v>17</v>
      </c>
      <c r="C15" s="8" t="s">
        <v>18</v>
      </c>
      <c r="D15" s="9" t="s">
        <v>19</v>
      </c>
    </row>
    <row r="16" customFormat="false" ht="30" hidden="false" customHeight="true" outlineLevel="0" collapsed="false">
      <c r="B16" s="7" t="s">
        <v>20</v>
      </c>
      <c r="C16" s="8" t="s">
        <v>21</v>
      </c>
      <c r="D16" s="9" t="s">
        <v>22</v>
      </c>
    </row>
    <row r="17" customFormat="false" ht="15" hidden="false" customHeight="true" outlineLevel="0" collapsed="false">
      <c r="B17" s="7" t="s">
        <v>23</v>
      </c>
      <c r="C17" s="8" t="s">
        <v>24</v>
      </c>
      <c r="D17" s="9" t="s">
        <v>25</v>
      </c>
    </row>
    <row r="18" customFormat="false" ht="15" hidden="false" customHeight="true" outlineLevel="0" collapsed="false">
      <c r="B18" s="7" t="s">
        <v>26</v>
      </c>
      <c r="C18" s="8" t="s">
        <v>27</v>
      </c>
      <c r="D18" s="9" t="s">
        <v>25</v>
      </c>
    </row>
    <row r="19" customFormat="false" ht="30" hidden="false" customHeight="true" outlineLevel="0" collapsed="false">
      <c r="B19" s="7" t="s">
        <v>28</v>
      </c>
      <c r="C19" s="8" t="s">
        <v>29</v>
      </c>
      <c r="D19" s="9" t="s">
        <v>30</v>
      </c>
    </row>
    <row r="20" customFormat="false" ht="30" hidden="false" customHeight="true" outlineLevel="0" collapsed="false">
      <c r="B20" s="7" t="s">
        <v>31</v>
      </c>
      <c r="C20" s="8" t="s">
        <v>32</v>
      </c>
      <c r="D20" s="9" t="s">
        <v>30</v>
      </c>
    </row>
    <row r="21" customFormat="false" ht="15" hidden="false" customHeight="true" outlineLevel="0" collapsed="false">
      <c r="B21" s="7" t="s">
        <v>33</v>
      </c>
      <c r="C21" s="8" t="s">
        <v>34</v>
      </c>
      <c r="D21" s="9" t="s">
        <v>35</v>
      </c>
    </row>
    <row r="23" customFormat="false" ht="15" hidden="false" customHeight="false" outlineLevel="0" collapsed="false">
      <c r="B23" s="3" t="s">
        <v>36</v>
      </c>
    </row>
    <row r="24" customFormat="false" ht="30" hidden="false" customHeight="true" outlineLevel="0" collapsed="false">
      <c r="C24" s="5" t="s">
        <v>37</v>
      </c>
    </row>
    <row r="26" customFormat="false" ht="15" hidden="false" customHeight="false" outlineLevel="0" collapsed="false">
      <c r="B26" s="3" t="s">
        <v>38</v>
      </c>
    </row>
    <row r="27" customFormat="false" ht="15" hidden="false" customHeight="false" outlineLevel="0" collapsed="false">
      <c r="B27" s="10" t="s">
        <v>39</v>
      </c>
      <c r="C27" s="4" t="s">
        <v>40</v>
      </c>
    </row>
    <row r="28" customFormat="false" ht="15" hidden="false" customHeight="false" outlineLevel="0" collapsed="false">
      <c r="B28" s="11" t="s">
        <v>39</v>
      </c>
      <c r="C28" s="4" t="s">
        <v>41</v>
      </c>
    </row>
    <row r="29" customFormat="false" ht="15" hidden="false" customHeight="false" outlineLevel="0" collapsed="false">
      <c r="B29" s="12" t="s">
        <v>39</v>
      </c>
      <c r="C29" s="4" t="s">
        <v>42</v>
      </c>
    </row>
    <row r="30" customFormat="false" ht="15" hidden="false" customHeight="false" outlineLevel="0" collapsed="false">
      <c r="B30" s="13" t="s">
        <v>39</v>
      </c>
      <c r="C30" s="4" t="s">
        <v>43</v>
      </c>
    </row>
    <row r="32" customFormat="false" ht="15" hidden="false" customHeight="false" outlineLevel="0" collapsed="false">
      <c r="B32" s="3" t="s">
        <v>44</v>
      </c>
    </row>
    <row r="33" customFormat="false" ht="30" hidden="false" customHeight="true" outlineLevel="0" collapsed="false">
      <c r="B33" s="4" t="s">
        <v>3</v>
      </c>
      <c r="C33" s="5" t="s">
        <v>45</v>
      </c>
    </row>
    <row r="34" customFormat="false" ht="30" hidden="false" customHeight="true" outlineLevel="0" collapsed="false">
      <c r="B34" s="4" t="s">
        <v>3</v>
      </c>
      <c r="C34" s="5" t="s">
        <v>46</v>
      </c>
    </row>
    <row r="35" customFormat="false" ht="30" hidden="false" customHeight="true" outlineLevel="0" collapsed="false">
      <c r="B35" s="4" t="s">
        <v>3</v>
      </c>
      <c r="C35" s="5" t="s">
        <v>47</v>
      </c>
    </row>
    <row r="37" customFormat="false" ht="15" hidden="false" customHeight="false" outlineLevel="0" collapsed="false">
      <c r="B37" s="2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4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3" min="2" style="0" width="9"/>
  </cols>
  <sheetData>
    <row r="1" customFormat="false" ht="30" hidden="false" customHeight="true" outlineLevel="0" collapsed="false">
      <c r="A1" s="6" t="s">
        <v>49</v>
      </c>
      <c r="B1" s="6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6" t="s">
        <v>56</v>
      </c>
      <c r="I1" s="6" t="s">
        <v>57</v>
      </c>
      <c r="J1" s="6" t="s">
        <v>58</v>
      </c>
      <c r="K1" s="6" t="s">
        <v>59</v>
      </c>
      <c r="L1" s="6" t="s">
        <v>60</v>
      </c>
      <c r="M1" s="6" t="s">
        <v>61</v>
      </c>
      <c r="N1" s="6" t="s">
        <v>62</v>
      </c>
      <c r="O1" s="6" t="s">
        <v>63</v>
      </c>
      <c r="P1" s="6" t="s">
        <v>64</v>
      </c>
      <c r="Q1" s="6" t="s">
        <v>65</v>
      </c>
      <c r="R1" s="6" t="s">
        <v>66</v>
      </c>
      <c r="S1" s="6" t="s">
        <v>67</v>
      </c>
      <c r="T1" s="6" t="s">
        <v>68</v>
      </c>
      <c r="U1" s="6" t="s">
        <v>69</v>
      </c>
      <c r="V1" s="6" t="s">
        <v>70</v>
      </c>
      <c r="W1" s="6" t="s">
        <v>71</v>
      </c>
      <c r="X1" s="6" t="s">
        <v>72</v>
      </c>
      <c r="Y1" s="6" t="s">
        <v>73</v>
      </c>
      <c r="Z1" s="6" t="s">
        <v>74</v>
      </c>
      <c r="AA1" s="6" t="s">
        <v>75</v>
      </c>
      <c r="AB1" s="6" t="s">
        <v>76</v>
      </c>
      <c r="AC1" s="6" t="s">
        <v>77</v>
      </c>
      <c r="AD1" s="6" t="s">
        <v>78</v>
      </c>
      <c r="AE1" s="6" t="s">
        <v>79</v>
      </c>
      <c r="AF1" s="6" t="s">
        <v>80</v>
      </c>
      <c r="AG1" s="6" t="s">
        <v>81</v>
      </c>
      <c r="AH1" s="6" t="s">
        <v>82</v>
      </c>
      <c r="AI1" s="6" t="s">
        <v>83</v>
      </c>
      <c r="AJ1" s="6" t="s">
        <v>84</v>
      </c>
      <c r="AK1" s="6" t="s">
        <v>85</v>
      </c>
      <c r="AL1" s="6" t="s">
        <v>86</v>
      </c>
      <c r="AM1" s="6" t="s">
        <v>87</v>
      </c>
      <c r="AN1" s="6" t="s">
        <v>88</v>
      </c>
      <c r="AO1" s="6" t="s">
        <v>89</v>
      </c>
      <c r="AP1" s="6" t="s">
        <v>90</v>
      </c>
      <c r="AQ1" s="6" t="s">
        <v>91</v>
      </c>
    </row>
    <row r="2" customFormat="false" ht="15" hidden="false" customHeight="false" outlineLevel="0" collapsed="false">
      <c r="A2" s="14" t="s">
        <v>92</v>
      </c>
      <c r="B2" s="15" t="n">
        <v>49518</v>
      </c>
      <c r="C2" s="15" t="n">
        <v>15021</v>
      </c>
      <c r="D2" s="15" t="n">
        <v>19251</v>
      </c>
      <c r="E2" s="15" t="n">
        <v>7632</v>
      </c>
      <c r="F2" s="15" t="n">
        <v>4104</v>
      </c>
      <c r="G2" s="15" t="n">
        <v>4801</v>
      </c>
      <c r="H2" s="15" t="n">
        <v>7631</v>
      </c>
      <c r="I2" s="15" t="n">
        <v>4175</v>
      </c>
      <c r="J2" s="15"/>
      <c r="K2" s="15"/>
      <c r="L2" s="15" t="n">
        <v>8455</v>
      </c>
      <c r="M2" s="15" t="n">
        <v>3940</v>
      </c>
      <c r="N2" s="15" t="n">
        <v>7375</v>
      </c>
      <c r="O2" s="15" t="n">
        <v>3789</v>
      </c>
      <c r="P2" s="15" t="n">
        <v>2823</v>
      </c>
      <c r="Q2" s="15" t="n">
        <v>2637</v>
      </c>
      <c r="R2" s="15" t="n">
        <v>5627</v>
      </c>
      <c r="S2" s="15" t="n">
        <v>3344</v>
      </c>
      <c r="T2" s="15" t="n">
        <v>2749</v>
      </c>
      <c r="U2" s="15" t="n">
        <v>1496</v>
      </c>
      <c r="V2" s="15" t="n">
        <v>4095</v>
      </c>
      <c r="W2" s="15" t="n">
        <v>1803</v>
      </c>
      <c r="X2" s="15" t="n">
        <v>9030</v>
      </c>
      <c r="Y2" s="15" t="n">
        <v>3943</v>
      </c>
      <c r="Z2" s="15" t="n">
        <v>8519</v>
      </c>
      <c r="AA2" s="15" t="n">
        <v>3842</v>
      </c>
      <c r="AB2" s="15" t="n">
        <v>3801</v>
      </c>
      <c r="AC2" s="15" t="n">
        <v>5678</v>
      </c>
      <c r="AD2" s="15" t="n">
        <v>2408</v>
      </c>
      <c r="AE2" s="15" t="n">
        <v>1605</v>
      </c>
      <c r="AF2" s="15" t="n">
        <v>806</v>
      </c>
      <c r="AG2" s="15" t="n">
        <v>2300</v>
      </c>
      <c r="AH2" s="15" t="n">
        <v>3287</v>
      </c>
      <c r="AI2" s="15" t="n">
        <v>5927</v>
      </c>
      <c r="AJ2" s="15" t="n">
        <v>633</v>
      </c>
      <c r="AK2" s="15" t="n">
        <v>694</v>
      </c>
      <c r="AL2" s="15" t="n">
        <v>1148</v>
      </c>
      <c r="AM2" s="15" t="n">
        <v>378</v>
      </c>
      <c r="AN2" s="15" t="n">
        <v>0</v>
      </c>
      <c r="AO2" s="15" t="n">
        <v>364</v>
      </c>
      <c r="AP2" s="15" t="n">
        <v>418</v>
      </c>
      <c r="AQ2" s="15" t="n">
        <v>4</v>
      </c>
    </row>
    <row r="3" customFormat="false" ht="15" hidden="false" customHeight="false" outlineLevel="0" collapsed="false">
      <c r="A3" s="14" t="s">
        <v>93</v>
      </c>
      <c r="B3" s="15" t="n">
        <v>39293</v>
      </c>
      <c r="C3" s="15" t="n">
        <v>12157</v>
      </c>
      <c r="D3" s="15" t="n">
        <v>19488</v>
      </c>
      <c r="E3" s="15" t="n">
        <v>6589</v>
      </c>
      <c r="F3" s="15" t="n">
        <v>4659</v>
      </c>
      <c r="G3" s="15" t="n">
        <v>5508</v>
      </c>
      <c r="H3" s="15" t="n">
        <v>5950</v>
      </c>
      <c r="I3" s="15" t="n">
        <v>4018</v>
      </c>
      <c r="J3" s="15"/>
      <c r="K3" s="15"/>
      <c r="L3" s="15" t="n">
        <v>8881</v>
      </c>
      <c r="M3" s="15" t="n">
        <v>4296</v>
      </c>
      <c r="N3" s="15" t="n">
        <v>7441</v>
      </c>
      <c r="O3" s="15" t="n">
        <v>2439</v>
      </c>
      <c r="P3" s="15" t="n">
        <v>1863</v>
      </c>
      <c r="Q3" s="15" t="n">
        <v>2059</v>
      </c>
      <c r="R3" s="15" t="n">
        <v>5136</v>
      </c>
      <c r="S3" s="15" t="n">
        <v>2515</v>
      </c>
      <c r="T3" s="15" t="n">
        <v>2804</v>
      </c>
      <c r="U3" s="15" t="n">
        <v>1701</v>
      </c>
      <c r="V3" s="15" t="n">
        <v>3656</v>
      </c>
      <c r="W3" s="15" t="n">
        <v>2384</v>
      </c>
      <c r="X3" s="15" t="n">
        <v>10818</v>
      </c>
      <c r="Y3" s="15" t="n">
        <v>4579</v>
      </c>
      <c r="Z3" s="15" t="n">
        <v>9242</v>
      </c>
      <c r="AA3" s="15" t="n">
        <v>2073</v>
      </c>
      <c r="AB3" s="15" t="n">
        <v>3441</v>
      </c>
      <c r="AC3" s="15" t="n">
        <v>4740</v>
      </c>
      <c r="AD3" s="15" t="n">
        <v>1807</v>
      </c>
      <c r="AE3" s="15" t="n">
        <v>1607</v>
      </c>
      <c r="AF3" s="15" t="n">
        <v>734</v>
      </c>
      <c r="AG3" s="15" t="n">
        <v>1987</v>
      </c>
      <c r="AH3" s="15" t="n">
        <v>3095</v>
      </c>
      <c r="AI3" s="15" t="n">
        <v>3020</v>
      </c>
      <c r="AJ3" s="15" t="n">
        <v>2140</v>
      </c>
      <c r="AK3" s="15" t="n">
        <v>2119</v>
      </c>
      <c r="AL3" s="15" t="n">
        <v>1387</v>
      </c>
      <c r="AM3" s="15" t="n">
        <v>1690</v>
      </c>
      <c r="AN3" s="15" t="n">
        <v>222</v>
      </c>
      <c r="AO3" s="15" t="n">
        <v>183</v>
      </c>
      <c r="AP3" s="15" t="n">
        <v>0</v>
      </c>
      <c r="AQ3" s="15" t="n">
        <v>4</v>
      </c>
    </row>
    <row r="4" customFormat="false" ht="15" hidden="false" customHeight="false" outlineLevel="0" collapsed="false">
      <c r="A4" s="14" t="s">
        <v>94</v>
      </c>
      <c r="B4" s="15" t="n">
        <v>36704</v>
      </c>
      <c r="C4" s="15" t="n">
        <v>13386</v>
      </c>
      <c r="D4" s="15" t="n">
        <v>15801</v>
      </c>
      <c r="E4" s="15" t="n">
        <v>7962</v>
      </c>
      <c r="F4" s="15" t="n">
        <v>4311</v>
      </c>
      <c r="G4" s="15" t="n">
        <v>5184</v>
      </c>
      <c r="H4" s="15" t="n">
        <v>6605</v>
      </c>
      <c r="I4" s="15" t="n">
        <v>3295</v>
      </c>
      <c r="J4" s="15"/>
      <c r="K4" s="15"/>
      <c r="L4" s="15" t="n">
        <v>9215</v>
      </c>
      <c r="M4" s="15" t="n">
        <v>3950</v>
      </c>
      <c r="N4" s="15" t="n">
        <v>7122</v>
      </c>
      <c r="O4" s="15" t="n">
        <v>3250</v>
      </c>
      <c r="P4" s="15" t="n">
        <v>2576</v>
      </c>
      <c r="Q4" s="15" t="n">
        <v>1859</v>
      </c>
      <c r="R4" s="15" t="n">
        <v>6056</v>
      </c>
      <c r="S4" s="15" t="n">
        <v>2390</v>
      </c>
      <c r="T4" s="15" t="n">
        <v>2393</v>
      </c>
      <c r="U4" s="15" t="n">
        <v>1671</v>
      </c>
      <c r="V4" s="15" t="n">
        <v>2682</v>
      </c>
      <c r="W4" s="15" t="n">
        <v>1392</v>
      </c>
      <c r="X4" s="15" t="n">
        <v>9463</v>
      </c>
      <c r="Y4" s="15" t="n">
        <v>5175</v>
      </c>
      <c r="Z4" s="15" t="n">
        <v>8109</v>
      </c>
      <c r="AA4" s="15" t="n">
        <v>3912</v>
      </c>
      <c r="AB4" s="15" t="n">
        <v>3145</v>
      </c>
      <c r="AC4" s="15" t="n">
        <v>6094</v>
      </c>
      <c r="AD4" s="15" t="n">
        <v>2010</v>
      </c>
      <c r="AE4" s="15" t="n">
        <v>1134</v>
      </c>
      <c r="AF4" s="15" t="n">
        <v>817</v>
      </c>
      <c r="AG4" s="15" t="n">
        <v>2597</v>
      </c>
      <c r="AH4" s="15" t="n">
        <v>3235</v>
      </c>
      <c r="AI4" s="15" t="n">
        <v>4719</v>
      </c>
      <c r="AJ4" s="15" t="n">
        <v>2497</v>
      </c>
      <c r="AK4" s="15" t="n">
        <v>4215</v>
      </c>
      <c r="AL4" s="15" t="n">
        <v>670</v>
      </c>
      <c r="AM4" s="15" t="n">
        <v>986</v>
      </c>
      <c r="AN4" s="15" t="n">
        <v>230</v>
      </c>
      <c r="AO4" s="15" t="n">
        <v>0</v>
      </c>
      <c r="AP4" s="15" t="n">
        <v>211</v>
      </c>
      <c r="AQ4" s="15" t="n">
        <v>0</v>
      </c>
    </row>
    <row r="5" customFormat="false" ht="15" hidden="false" customHeight="false" outlineLevel="0" collapsed="false">
      <c r="A5" s="14" t="s">
        <v>95</v>
      </c>
      <c r="B5" s="15" t="n">
        <v>46985</v>
      </c>
      <c r="C5" s="15" t="n">
        <v>14957</v>
      </c>
      <c r="D5" s="15" t="n">
        <v>18541</v>
      </c>
      <c r="E5" s="15" t="n">
        <v>9261</v>
      </c>
      <c r="F5" s="15" t="n">
        <v>5114</v>
      </c>
      <c r="G5" s="15" t="n">
        <v>6215</v>
      </c>
      <c r="H5" s="15" t="n">
        <v>7632</v>
      </c>
      <c r="I5" s="15" t="n">
        <v>3268</v>
      </c>
      <c r="J5" s="15"/>
      <c r="K5" s="15"/>
      <c r="L5" s="15" t="n">
        <v>12879</v>
      </c>
      <c r="M5" s="15" t="n">
        <v>6347</v>
      </c>
      <c r="N5" s="15" t="n">
        <v>8795</v>
      </c>
      <c r="O5" s="15" t="n">
        <v>3743</v>
      </c>
      <c r="P5" s="15" t="n">
        <v>2823</v>
      </c>
      <c r="Q5" s="15" t="n">
        <v>2258</v>
      </c>
      <c r="R5" s="15" t="n">
        <v>8494</v>
      </c>
      <c r="S5" s="15" t="n">
        <v>3393</v>
      </c>
      <c r="T5" s="15" t="n">
        <v>2325</v>
      </c>
      <c r="U5" s="15" t="n">
        <v>1514</v>
      </c>
      <c r="V5" s="15" t="n">
        <v>3705</v>
      </c>
      <c r="W5" s="15" t="n">
        <v>1801</v>
      </c>
      <c r="X5" s="15" t="n">
        <v>7528</v>
      </c>
      <c r="Y5" s="15" t="n">
        <v>4481</v>
      </c>
      <c r="Z5" s="15" t="n">
        <v>6030</v>
      </c>
      <c r="AA5" s="15" t="n">
        <v>2687</v>
      </c>
      <c r="AB5" s="15" t="n">
        <v>3219</v>
      </c>
      <c r="AC5" s="15" t="n">
        <v>3460</v>
      </c>
      <c r="AD5" s="15" t="n">
        <v>4105</v>
      </c>
      <c r="AE5" s="15" t="n">
        <v>2558</v>
      </c>
      <c r="AF5" s="15" t="n">
        <v>612</v>
      </c>
      <c r="AG5" s="15" t="n">
        <v>2153</v>
      </c>
      <c r="AH5" s="15" t="n">
        <v>3893</v>
      </c>
      <c r="AI5" s="15" t="n">
        <v>3517</v>
      </c>
      <c r="AJ5" s="15" t="n">
        <v>3033</v>
      </c>
      <c r="AK5" s="15" t="n">
        <v>3427</v>
      </c>
      <c r="AL5" s="15" t="n">
        <v>1318</v>
      </c>
      <c r="AM5" s="15" t="n">
        <v>917</v>
      </c>
      <c r="AN5" s="15" t="n">
        <v>1265</v>
      </c>
      <c r="AO5" s="15" t="n">
        <v>143</v>
      </c>
      <c r="AP5" s="15" t="n">
        <v>0</v>
      </c>
      <c r="AQ5" s="15" t="n">
        <v>4</v>
      </c>
    </row>
    <row r="6" customFormat="false" ht="15" hidden="false" customHeight="false" outlineLevel="0" collapsed="false">
      <c r="A6" s="14" t="s">
        <v>96</v>
      </c>
      <c r="B6" s="15" t="n">
        <v>40022</v>
      </c>
      <c r="C6" s="15" t="n">
        <v>26309</v>
      </c>
      <c r="D6" s="15" t="n">
        <v>14046</v>
      </c>
      <c r="E6" s="15" t="n">
        <v>7296</v>
      </c>
      <c r="F6" s="15" t="n">
        <v>3545</v>
      </c>
      <c r="G6" s="15" t="n">
        <v>4578</v>
      </c>
      <c r="H6" s="15" t="n">
        <v>5727</v>
      </c>
      <c r="I6" s="15" t="n">
        <v>2624</v>
      </c>
      <c r="J6" s="15"/>
      <c r="K6" s="15"/>
      <c r="L6" s="15" t="n">
        <v>8537</v>
      </c>
      <c r="M6" s="15" t="n">
        <v>3700</v>
      </c>
      <c r="N6" s="15" t="n">
        <v>7103</v>
      </c>
      <c r="O6" s="15" t="n">
        <v>3088</v>
      </c>
      <c r="P6" s="15" t="n">
        <v>2244</v>
      </c>
      <c r="Q6" s="15" t="n">
        <v>1632</v>
      </c>
      <c r="R6" s="15" t="n">
        <v>6178</v>
      </c>
      <c r="S6" s="15" t="n">
        <v>2708</v>
      </c>
      <c r="T6" s="15" t="n">
        <v>1766</v>
      </c>
      <c r="U6" s="15" t="n">
        <v>1553</v>
      </c>
      <c r="V6" s="15" t="n">
        <v>2294</v>
      </c>
      <c r="W6" s="15" t="n">
        <v>1123</v>
      </c>
      <c r="X6" s="15" t="n">
        <v>10148</v>
      </c>
      <c r="Y6" s="15" t="n">
        <v>5008</v>
      </c>
      <c r="Z6" s="15" t="n">
        <v>7814</v>
      </c>
      <c r="AA6" s="15" t="n">
        <v>2868</v>
      </c>
      <c r="AB6" s="15" t="n">
        <v>3319</v>
      </c>
      <c r="AC6" s="15" t="n">
        <v>3823</v>
      </c>
      <c r="AD6" s="15" t="n">
        <v>1517</v>
      </c>
      <c r="AE6" s="15" t="n">
        <v>1770</v>
      </c>
      <c r="AF6" s="15" t="n">
        <v>781</v>
      </c>
      <c r="AG6" s="15" t="n">
        <v>3468</v>
      </c>
      <c r="AH6" s="15" t="n">
        <v>2709</v>
      </c>
      <c r="AI6" s="15" t="n">
        <v>6222</v>
      </c>
      <c r="AJ6" s="15" t="n">
        <v>873</v>
      </c>
      <c r="AK6" s="15" t="n">
        <v>1090</v>
      </c>
      <c r="AL6" s="15" t="n">
        <v>878</v>
      </c>
      <c r="AM6" s="15" t="n">
        <v>1390</v>
      </c>
      <c r="AN6" s="15" t="n">
        <v>469</v>
      </c>
      <c r="AO6" s="15" t="n">
        <v>368</v>
      </c>
      <c r="AP6" s="15" t="n">
        <v>181</v>
      </c>
      <c r="AQ6" s="15" t="n">
        <v>0</v>
      </c>
    </row>
    <row r="7" customFormat="false" ht="15" hidden="false" customHeight="false" outlineLevel="0" collapsed="false">
      <c r="A7" s="14" t="s">
        <v>97</v>
      </c>
      <c r="B7" s="15" t="n">
        <v>39799</v>
      </c>
      <c r="C7" s="15" t="n">
        <v>13173</v>
      </c>
      <c r="D7" s="15" t="n">
        <v>15092</v>
      </c>
      <c r="E7" s="15" t="n">
        <v>6354</v>
      </c>
      <c r="F7" s="15" t="n">
        <v>4808</v>
      </c>
      <c r="G7" s="15" t="n">
        <v>5817</v>
      </c>
      <c r="H7" s="15" t="n">
        <v>5885</v>
      </c>
      <c r="I7" s="15" t="n">
        <v>3275</v>
      </c>
      <c r="J7" s="15"/>
      <c r="K7" s="15"/>
      <c r="L7" s="15" t="n">
        <v>10625</v>
      </c>
      <c r="M7" s="15" t="n">
        <v>5171</v>
      </c>
      <c r="N7" s="15" t="n">
        <v>7693</v>
      </c>
      <c r="O7" s="15" t="n">
        <v>3593</v>
      </c>
      <c r="P7" s="15" t="n">
        <v>3674</v>
      </c>
      <c r="Q7" s="15" t="n">
        <v>1820</v>
      </c>
      <c r="R7" s="15" t="n">
        <v>7064</v>
      </c>
      <c r="S7" s="15" t="n">
        <v>2748</v>
      </c>
      <c r="T7" s="15" t="n">
        <v>2252</v>
      </c>
      <c r="U7" s="15" t="n">
        <v>1864</v>
      </c>
      <c r="V7" s="15" t="n">
        <v>2878</v>
      </c>
      <c r="W7" s="15" t="n">
        <v>1562</v>
      </c>
      <c r="X7" s="15" t="n">
        <v>11681</v>
      </c>
      <c r="Y7" s="15" t="n">
        <v>6378</v>
      </c>
      <c r="Z7" s="15" t="n">
        <v>9282</v>
      </c>
      <c r="AA7" s="15" t="n">
        <v>3799</v>
      </c>
      <c r="AB7" s="15" t="n">
        <v>3680</v>
      </c>
      <c r="AC7" s="15" t="n">
        <v>5251</v>
      </c>
      <c r="AD7" s="15" t="n">
        <v>1977</v>
      </c>
      <c r="AE7" s="15" t="n">
        <v>2062</v>
      </c>
      <c r="AF7" s="15" t="n">
        <v>1144</v>
      </c>
      <c r="AG7" s="15" t="n">
        <v>1675</v>
      </c>
      <c r="AH7" s="15" t="n">
        <v>2167</v>
      </c>
      <c r="AI7" s="15" t="n">
        <v>2530</v>
      </c>
      <c r="AJ7" s="15" t="n">
        <v>46</v>
      </c>
      <c r="AK7" s="15" t="n">
        <v>63</v>
      </c>
      <c r="AL7" s="15" t="n">
        <v>26</v>
      </c>
      <c r="AM7" s="15" t="n">
        <v>928</v>
      </c>
      <c r="AN7" s="15" t="n">
        <v>0</v>
      </c>
      <c r="AO7" s="15" t="n">
        <v>0</v>
      </c>
      <c r="AP7" s="15" t="n">
        <v>0</v>
      </c>
      <c r="AQ7" s="15" t="n">
        <v>8</v>
      </c>
    </row>
    <row r="8" customFormat="false" ht="15" hidden="false" customHeight="false" outlineLevel="0" collapsed="false">
      <c r="A8" s="14" t="s">
        <v>98</v>
      </c>
      <c r="B8" s="15" t="n">
        <v>38450</v>
      </c>
      <c r="C8" s="15" t="n">
        <v>21068</v>
      </c>
      <c r="D8" s="15" t="n">
        <v>16100</v>
      </c>
      <c r="E8" s="15" t="n">
        <v>7293</v>
      </c>
      <c r="F8" s="15" t="n">
        <v>4860</v>
      </c>
      <c r="G8" s="15" t="n">
        <v>5599</v>
      </c>
      <c r="H8" s="15" t="n">
        <v>5614</v>
      </c>
      <c r="I8" s="15" t="n">
        <v>3021</v>
      </c>
      <c r="J8" s="15"/>
      <c r="K8" s="15"/>
      <c r="L8" s="15" t="n">
        <v>8777</v>
      </c>
      <c r="M8" s="15" t="n">
        <v>3789</v>
      </c>
      <c r="N8" s="15" t="n">
        <v>7273</v>
      </c>
      <c r="O8" s="15" t="n">
        <v>3267</v>
      </c>
      <c r="P8" s="15" t="n">
        <v>4234</v>
      </c>
      <c r="Q8" s="15" t="n">
        <v>2610</v>
      </c>
      <c r="R8" s="15" t="n">
        <v>6217</v>
      </c>
      <c r="S8" s="15" t="n">
        <v>3079</v>
      </c>
      <c r="T8" s="15" t="n">
        <v>2282</v>
      </c>
      <c r="U8" s="15" t="n">
        <v>1782</v>
      </c>
      <c r="V8" s="15" t="n">
        <v>3032</v>
      </c>
      <c r="W8" s="15" t="n">
        <v>1299</v>
      </c>
      <c r="X8" s="15" t="n">
        <v>15566</v>
      </c>
      <c r="Y8" s="15" t="n">
        <v>6614</v>
      </c>
      <c r="Z8" s="15" t="n">
        <v>11265</v>
      </c>
      <c r="AA8" s="15" t="n">
        <v>6492</v>
      </c>
      <c r="AB8" s="15" t="n">
        <v>3138</v>
      </c>
      <c r="AC8" s="15" t="n">
        <v>4618</v>
      </c>
      <c r="AD8" s="15" t="n">
        <v>2832</v>
      </c>
      <c r="AE8" s="15" t="n">
        <v>1652</v>
      </c>
      <c r="AF8" s="15" t="n">
        <v>1325</v>
      </c>
      <c r="AG8" s="15" t="n">
        <v>2734</v>
      </c>
      <c r="AH8" s="15" t="n">
        <v>2451</v>
      </c>
      <c r="AI8" s="15" t="n">
        <v>3265</v>
      </c>
      <c r="AJ8" s="15" t="n">
        <v>43</v>
      </c>
      <c r="AK8" s="15" t="n">
        <v>75</v>
      </c>
      <c r="AL8" s="15" t="n">
        <v>0</v>
      </c>
      <c r="AM8" s="15" t="n">
        <v>1330</v>
      </c>
      <c r="AN8" s="15" t="n">
        <v>0</v>
      </c>
      <c r="AO8" s="15" t="n">
        <v>285</v>
      </c>
      <c r="AP8" s="15" t="n">
        <v>655</v>
      </c>
      <c r="AQ8" s="15" t="n">
        <v>0</v>
      </c>
    </row>
    <row r="9" customFormat="false" ht="15" hidden="false" customHeight="false" outlineLevel="0" collapsed="false">
      <c r="A9" s="14" t="s">
        <v>99</v>
      </c>
      <c r="B9" s="15" t="n">
        <v>38657</v>
      </c>
      <c r="C9" s="15" t="n">
        <v>13563</v>
      </c>
      <c r="D9" s="15" t="n">
        <v>13428</v>
      </c>
      <c r="E9" s="15" t="n">
        <v>7065</v>
      </c>
      <c r="F9" s="15" t="n">
        <v>4743</v>
      </c>
      <c r="G9" s="15" t="n">
        <v>5964</v>
      </c>
      <c r="H9" s="15" t="n">
        <v>5380</v>
      </c>
      <c r="I9" s="15" t="n">
        <v>3291</v>
      </c>
      <c r="J9" s="15"/>
      <c r="K9" s="15"/>
      <c r="L9" s="15" t="n">
        <v>9354</v>
      </c>
      <c r="M9" s="15" t="n">
        <v>4327</v>
      </c>
      <c r="N9" s="15" t="n">
        <v>7192</v>
      </c>
      <c r="O9" s="15" t="n">
        <v>3560</v>
      </c>
      <c r="P9" s="15" t="n">
        <v>4189</v>
      </c>
      <c r="Q9" s="15" t="n">
        <v>3022</v>
      </c>
      <c r="R9" s="15" t="n">
        <v>6518</v>
      </c>
      <c r="S9" s="15" t="n">
        <v>2579</v>
      </c>
      <c r="T9" s="15" t="n">
        <v>2550</v>
      </c>
      <c r="U9" s="15" t="n">
        <v>2120</v>
      </c>
      <c r="V9" s="15" t="n">
        <v>3019</v>
      </c>
      <c r="W9" s="15" t="n">
        <v>1212</v>
      </c>
      <c r="X9" s="15" t="n">
        <v>16912</v>
      </c>
      <c r="Y9" s="15" t="n">
        <v>6544</v>
      </c>
      <c r="Z9" s="15" t="n">
        <v>13079</v>
      </c>
      <c r="AA9" s="15" t="n">
        <v>4567</v>
      </c>
      <c r="AB9" s="15" t="n">
        <v>3397</v>
      </c>
      <c r="AC9" s="15" t="n">
        <v>3503</v>
      </c>
      <c r="AD9" s="15" t="n">
        <v>2541</v>
      </c>
      <c r="AE9" s="15" t="n">
        <v>2306</v>
      </c>
      <c r="AF9" s="15" t="n">
        <v>1536</v>
      </c>
      <c r="AG9" s="15" t="n">
        <v>4491</v>
      </c>
      <c r="AH9" s="15" t="n">
        <v>3212</v>
      </c>
      <c r="AI9" s="15" t="n">
        <v>3532</v>
      </c>
      <c r="AJ9" s="15" t="n">
        <v>38</v>
      </c>
      <c r="AK9" s="15" t="n">
        <v>69</v>
      </c>
      <c r="AL9" s="15" t="n">
        <v>190</v>
      </c>
      <c r="AM9" s="15" t="n">
        <v>509</v>
      </c>
      <c r="AN9" s="15" t="n">
        <v>0</v>
      </c>
      <c r="AO9" s="15" t="n">
        <v>206</v>
      </c>
      <c r="AP9" s="15" t="n">
        <v>0</v>
      </c>
      <c r="AQ9" s="15" t="n">
        <v>0</v>
      </c>
    </row>
    <row r="10" customFormat="false" ht="15" hidden="false" customHeight="false" outlineLevel="0" collapsed="false">
      <c r="A10" s="14" t="s">
        <v>100</v>
      </c>
      <c r="B10" s="15" t="n">
        <v>39981</v>
      </c>
      <c r="C10" s="15" t="n">
        <v>14935</v>
      </c>
      <c r="D10" s="15" t="n">
        <v>18158</v>
      </c>
      <c r="E10" s="15" t="n">
        <v>7149</v>
      </c>
      <c r="F10" s="15" t="n">
        <v>5280</v>
      </c>
      <c r="G10" s="15" t="n">
        <v>12677</v>
      </c>
      <c r="H10" s="15" t="n">
        <v>5870</v>
      </c>
      <c r="I10" s="15" t="n">
        <v>3322</v>
      </c>
      <c r="J10" s="15"/>
      <c r="K10" s="15"/>
      <c r="L10" s="15" t="n">
        <v>9169</v>
      </c>
      <c r="M10" s="15" t="n">
        <v>4658</v>
      </c>
      <c r="N10" s="15" t="n">
        <v>7538</v>
      </c>
      <c r="O10" s="15" t="n">
        <v>3437</v>
      </c>
      <c r="P10" s="15" t="n">
        <v>4564</v>
      </c>
      <c r="Q10" s="15" t="n">
        <v>3173</v>
      </c>
      <c r="R10" s="15" t="n">
        <v>6508</v>
      </c>
      <c r="S10" s="15" t="n">
        <v>2229</v>
      </c>
      <c r="T10" s="15" t="n">
        <v>2386</v>
      </c>
      <c r="U10" s="15" t="n">
        <v>1748</v>
      </c>
      <c r="V10" s="15" t="n">
        <v>3968</v>
      </c>
      <c r="W10" s="15" t="n">
        <v>1347</v>
      </c>
      <c r="X10" s="15" t="n">
        <v>17536</v>
      </c>
      <c r="Y10" s="15" t="n">
        <v>7912</v>
      </c>
      <c r="Z10" s="15" t="n">
        <v>13321</v>
      </c>
      <c r="AA10" s="15" t="n">
        <v>7234</v>
      </c>
      <c r="AB10" s="15" t="n">
        <v>2542</v>
      </c>
      <c r="AC10" s="15" t="n">
        <v>6627</v>
      </c>
      <c r="AD10" s="15" t="n">
        <v>2746</v>
      </c>
      <c r="AE10" s="15" t="n">
        <v>1769</v>
      </c>
      <c r="AF10" s="15" t="n">
        <v>1712</v>
      </c>
      <c r="AG10" s="15" t="n">
        <v>3500</v>
      </c>
      <c r="AH10" s="15" t="n">
        <v>2832</v>
      </c>
      <c r="AI10" s="15" t="n">
        <v>3586</v>
      </c>
      <c r="AJ10" s="15" t="n">
        <v>33</v>
      </c>
      <c r="AK10" s="15" t="n">
        <v>55</v>
      </c>
      <c r="AL10" s="15" t="n">
        <v>833</v>
      </c>
      <c r="AM10" s="15" t="n">
        <v>562</v>
      </c>
      <c r="AN10" s="15" t="n">
        <v>0</v>
      </c>
      <c r="AO10" s="15" t="n">
        <v>501</v>
      </c>
      <c r="AP10" s="15" t="n">
        <v>101</v>
      </c>
      <c r="AQ10" s="15" t="n">
        <v>4</v>
      </c>
    </row>
    <row r="11" customFormat="false" ht="15" hidden="false" customHeight="false" outlineLevel="0" collapsed="false">
      <c r="A11" s="14" t="s">
        <v>101</v>
      </c>
      <c r="B11" s="15" t="n">
        <v>39408</v>
      </c>
      <c r="C11" s="15" t="n">
        <v>14972</v>
      </c>
      <c r="D11" s="15" t="n">
        <v>21518</v>
      </c>
      <c r="E11" s="15" t="n">
        <v>7865</v>
      </c>
      <c r="F11" s="15" t="n">
        <v>4629</v>
      </c>
      <c r="G11" s="15" t="n">
        <v>6512</v>
      </c>
      <c r="H11" s="15" t="n">
        <v>5579</v>
      </c>
      <c r="I11" s="15" t="n">
        <v>3213</v>
      </c>
      <c r="J11" s="15"/>
      <c r="K11" s="15"/>
      <c r="L11" s="15" t="n">
        <v>8985</v>
      </c>
      <c r="M11" s="15" t="n">
        <v>4942</v>
      </c>
      <c r="N11" s="15" t="n">
        <v>5982</v>
      </c>
      <c r="O11" s="15" t="n">
        <v>3776</v>
      </c>
      <c r="P11" s="15" t="n">
        <v>5809</v>
      </c>
      <c r="Q11" s="15" t="n">
        <v>4854</v>
      </c>
      <c r="R11" s="15" t="n">
        <v>6275</v>
      </c>
      <c r="S11" s="15" t="n">
        <v>2211</v>
      </c>
      <c r="T11" s="15" t="n">
        <v>2661</v>
      </c>
      <c r="U11" s="15" t="n">
        <v>1873</v>
      </c>
      <c r="V11" s="15" t="n">
        <v>3734</v>
      </c>
      <c r="W11" s="15" t="n">
        <v>1387</v>
      </c>
      <c r="X11" s="15" t="n">
        <v>16688</v>
      </c>
      <c r="Y11" s="15" t="n">
        <v>7745</v>
      </c>
      <c r="Z11" s="15" t="n">
        <v>14280</v>
      </c>
      <c r="AA11" s="15" t="n">
        <v>4903</v>
      </c>
      <c r="AB11" s="15" t="n">
        <v>3268</v>
      </c>
      <c r="AC11" s="15" t="n">
        <v>4841</v>
      </c>
      <c r="AD11" s="15" t="n">
        <v>2349</v>
      </c>
      <c r="AE11" s="15" t="n">
        <v>1931</v>
      </c>
      <c r="AF11" s="15" t="n">
        <v>1454</v>
      </c>
      <c r="AG11" s="15" t="n">
        <v>3746</v>
      </c>
      <c r="AH11" s="15" t="n">
        <v>2635</v>
      </c>
      <c r="AI11" s="15" t="n">
        <v>3542</v>
      </c>
      <c r="AJ11" s="15" t="n">
        <v>45</v>
      </c>
      <c r="AK11" s="15" t="n">
        <v>67</v>
      </c>
      <c r="AL11" s="15" t="n">
        <v>916</v>
      </c>
      <c r="AM11" s="15" t="n">
        <v>529</v>
      </c>
      <c r="AN11" s="15" t="n">
        <v>0</v>
      </c>
      <c r="AO11" s="15" t="n">
        <v>818</v>
      </c>
      <c r="AP11" s="15" t="n">
        <v>163</v>
      </c>
      <c r="AQ11" s="15" t="n">
        <v>0</v>
      </c>
    </row>
    <row r="12" customFormat="false" ht="15" hidden="false" customHeight="false" outlineLevel="0" collapsed="false">
      <c r="A12" s="14" t="s">
        <v>102</v>
      </c>
      <c r="B12" s="15" t="n">
        <v>53647</v>
      </c>
      <c r="C12" s="15" t="n">
        <v>16536</v>
      </c>
      <c r="D12" s="15" t="n">
        <v>19379</v>
      </c>
      <c r="E12" s="15" t="n">
        <v>8599</v>
      </c>
      <c r="F12" s="15" t="n">
        <v>5694</v>
      </c>
      <c r="G12" s="15" t="n">
        <v>10427</v>
      </c>
      <c r="H12" s="15" t="n">
        <v>6263</v>
      </c>
      <c r="I12" s="15" t="n">
        <v>3577</v>
      </c>
      <c r="J12" s="15"/>
      <c r="K12" s="15"/>
      <c r="L12" s="15" t="n">
        <v>8800</v>
      </c>
      <c r="M12" s="15" t="n">
        <v>4144</v>
      </c>
      <c r="N12" s="15" t="n">
        <v>7528</v>
      </c>
      <c r="O12" s="15" t="n">
        <v>3861</v>
      </c>
      <c r="P12" s="15" t="n">
        <v>5480</v>
      </c>
      <c r="Q12" s="15" t="n">
        <v>5062</v>
      </c>
      <c r="R12" s="15" t="n">
        <v>5995</v>
      </c>
      <c r="S12" s="15" t="n">
        <v>2668</v>
      </c>
      <c r="T12" s="15" t="n">
        <v>2431</v>
      </c>
      <c r="U12" s="15" t="n">
        <v>2415</v>
      </c>
      <c r="V12" s="15" t="n">
        <v>3765</v>
      </c>
      <c r="W12" s="15" t="n">
        <v>1277</v>
      </c>
      <c r="X12" s="15" t="n">
        <v>15900</v>
      </c>
      <c r="Y12" s="15" t="n">
        <v>9782</v>
      </c>
      <c r="Z12" s="15" t="n">
        <v>10575</v>
      </c>
      <c r="AA12" s="15" t="n">
        <v>3902</v>
      </c>
      <c r="AB12" s="15" t="n">
        <v>4320</v>
      </c>
      <c r="AC12" s="15" t="n">
        <v>7487</v>
      </c>
      <c r="AD12" s="15" t="n">
        <v>2118</v>
      </c>
      <c r="AE12" s="15" t="n">
        <v>2127</v>
      </c>
      <c r="AF12" s="15" t="n">
        <v>1773</v>
      </c>
      <c r="AG12" s="15" t="n">
        <v>4185</v>
      </c>
      <c r="AH12" s="15" t="n">
        <v>2354</v>
      </c>
      <c r="AI12" s="15" t="n">
        <v>4410</v>
      </c>
      <c r="AJ12" s="15" t="n">
        <v>48</v>
      </c>
      <c r="AK12" s="15" t="n">
        <v>73</v>
      </c>
      <c r="AL12" s="15" t="n">
        <v>968</v>
      </c>
      <c r="AM12" s="15" t="n">
        <v>115</v>
      </c>
      <c r="AN12" s="15" t="n">
        <v>0</v>
      </c>
      <c r="AO12" s="15" t="n">
        <v>614</v>
      </c>
      <c r="AP12" s="15" t="n">
        <v>0</v>
      </c>
      <c r="AQ12" s="15" t="n">
        <v>4</v>
      </c>
    </row>
    <row r="13" customFormat="false" ht="15" hidden="false" customHeight="false" outlineLevel="0" collapsed="false">
      <c r="A13" s="14" t="s">
        <v>103</v>
      </c>
      <c r="B13" s="15" t="n">
        <v>51728</v>
      </c>
      <c r="C13" s="15" t="n">
        <v>16514</v>
      </c>
      <c r="D13" s="15" t="n">
        <v>14912</v>
      </c>
      <c r="E13" s="15" t="n">
        <v>6889</v>
      </c>
      <c r="F13" s="15" t="n">
        <v>5344</v>
      </c>
      <c r="G13" s="15" t="n">
        <v>5595</v>
      </c>
      <c r="H13" s="15" t="n">
        <v>5542</v>
      </c>
      <c r="I13" s="15" t="n">
        <v>3179</v>
      </c>
      <c r="J13" s="15"/>
      <c r="K13" s="15"/>
      <c r="L13" s="15" t="n">
        <v>8120</v>
      </c>
      <c r="M13" s="15" t="n">
        <v>5857</v>
      </c>
      <c r="N13" s="15" t="n">
        <v>7728</v>
      </c>
      <c r="O13" s="15" t="n">
        <v>4282</v>
      </c>
      <c r="P13" s="15" t="n">
        <v>4212</v>
      </c>
      <c r="Q13" s="15" t="n">
        <v>3026</v>
      </c>
      <c r="R13" s="15" t="n">
        <v>7705</v>
      </c>
      <c r="S13" s="15" t="n">
        <v>2813</v>
      </c>
      <c r="T13" s="15" t="n">
        <v>2705</v>
      </c>
      <c r="U13" s="15" t="n">
        <v>2105</v>
      </c>
      <c r="V13" s="15" t="n">
        <v>3139</v>
      </c>
      <c r="W13" s="15" t="n">
        <v>2002</v>
      </c>
      <c r="X13" s="15" t="n">
        <v>15632</v>
      </c>
      <c r="Y13" s="15" t="n">
        <v>5382</v>
      </c>
      <c r="Z13" s="15" t="n">
        <v>9397</v>
      </c>
      <c r="AA13" s="15" t="n">
        <v>3975</v>
      </c>
      <c r="AB13" s="15" t="n">
        <v>4450</v>
      </c>
      <c r="AC13" s="15" t="n">
        <v>5100</v>
      </c>
      <c r="AD13" s="15" t="n">
        <v>2206</v>
      </c>
      <c r="AE13" s="15" t="n">
        <v>3178</v>
      </c>
      <c r="AF13" s="15" t="n">
        <v>1877</v>
      </c>
      <c r="AG13" s="15" t="n">
        <v>3554</v>
      </c>
      <c r="AH13" s="15" t="n">
        <v>4439</v>
      </c>
      <c r="AI13" s="15" t="n">
        <v>7911</v>
      </c>
      <c r="AJ13" s="15" t="n">
        <v>129</v>
      </c>
      <c r="AK13" s="15" t="n">
        <v>165</v>
      </c>
      <c r="AL13" s="15" t="n">
        <v>1591</v>
      </c>
      <c r="AM13" s="15" t="n">
        <v>933</v>
      </c>
      <c r="AN13" s="15" t="n">
        <v>0</v>
      </c>
      <c r="AO13" s="15" t="n">
        <v>647</v>
      </c>
      <c r="AP13" s="15" t="n">
        <v>0</v>
      </c>
      <c r="AQ13" s="15" t="n">
        <v>0</v>
      </c>
    </row>
    <row r="14" customFormat="false" ht="15" hidden="false" customHeight="false" outlineLevel="0" collapsed="false">
      <c r="A14" s="14" t="s">
        <v>104</v>
      </c>
      <c r="B14" s="15" t="n">
        <v>48357</v>
      </c>
      <c r="C14" s="15" t="n">
        <v>27868</v>
      </c>
      <c r="D14" s="15" t="n">
        <v>15064</v>
      </c>
      <c r="E14" s="15" t="n">
        <v>8977</v>
      </c>
      <c r="F14" s="15" t="n">
        <v>5307</v>
      </c>
      <c r="G14" s="15" t="n">
        <v>6423</v>
      </c>
      <c r="H14" s="15" t="n">
        <v>6240</v>
      </c>
      <c r="I14" s="15" t="n">
        <v>2578</v>
      </c>
      <c r="J14" s="15"/>
      <c r="K14" s="15"/>
      <c r="L14" s="15" t="n">
        <v>8983</v>
      </c>
      <c r="M14" s="15" t="n">
        <v>3488</v>
      </c>
      <c r="N14" s="15" t="n">
        <v>7815</v>
      </c>
      <c r="O14" s="15" t="n">
        <v>3300</v>
      </c>
      <c r="P14" s="15" t="n">
        <v>4017</v>
      </c>
      <c r="Q14" s="15" t="n">
        <v>2014</v>
      </c>
      <c r="R14" s="15" t="n">
        <v>6594</v>
      </c>
      <c r="S14" s="15" t="n">
        <v>2756</v>
      </c>
      <c r="T14" s="15" t="n">
        <v>2835</v>
      </c>
      <c r="U14" s="15" t="n">
        <v>1539</v>
      </c>
      <c r="V14" s="15" t="n">
        <v>2884</v>
      </c>
      <c r="W14" s="15" t="n">
        <v>1450</v>
      </c>
      <c r="X14" s="15" t="n">
        <v>13037</v>
      </c>
      <c r="Y14" s="15" t="n">
        <v>6985</v>
      </c>
      <c r="Z14" s="15" t="n">
        <v>9670</v>
      </c>
      <c r="AA14" s="15" t="n">
        <v>3703</v>
      </c>
      <c r="AB14" s="15" t="n">
        <v>4444</v>
      </c>
      <c r="AC14" s="15" t="n">
        <v>8635</v>
      </c>
      <c r="AD14" s="15" t="n">
        <v>1800</v>
      </c>
      <c r="AE14" s="15" t="n">
        <v>1492</v>
      </c>
      <c r="AF14" s="15" t="n">
        <v>1268</v>
      </c>
      <c r="AG14" s="15" t="n">
        <v>2228</v>
      </c>
      <c r="AH14" s="15" t="n">
        <v>3637</v>
      </c>
      <c r="AI14" s="15" t="n">
        <v>2408</v>
      </c>
      <c r="AJ14" s="15" t="n">
        <v>537</v>
      </c>
      <c r="AK14" s="15" t="n">
        <v>860</v>
      </c>
      <c r="AL14" s="15" t="n">
        <v>708</v>
      </c>
      <c r="AM14" s="15" t="n">
        <v>622</v>
      </c>
      <c r="AN14" s="15" t="n">
        <v>0</v>
      </c>
      <c r="AO14" s="15" t="n">
        <v>504</v>
      </c>
      <c r="AP14" s="15" t="n">
        <v>116</v>
      </c>
      <c r="AQ14" s="15" t="n">
        <v>0</v>
      </c>
    </row>
    <row r="15" customFormat="false" ht="15" hidden="false" customHeight="false" outlineLevel="0" collapsed="false">
      <c r="A15" s="14" t="s">
        <v>105</v>
      </c>
      <c r="B15" s="15" t="n">
        <v>42703</v>
      </c>
      <c r="C15" s="15" t="n">
        <v>13563</v>
      </c>
      <c r="D15" s="15" t="n">
        <v>19712</v>
      </c>
      <c r="E15" s="15" t="n">
        <v>7881</v>
      </c>
      <c r="F15" s="15" t="n">
        <v>4930</v>
      </c>
      <c r="G15" s="15" t="n">
        <v>6634</v>
      </c>
      <c r="H15" s="15" t="n">
        <v>5109</v>
      </c>
      <c r="I15" s="15" t="n">
        <v>4021</v>
      </c>
      <c r="J15" s="15"/>
      <c r="K15" s="15"/>
      <c r="L15" s="15" t="n">
        <v>9353</v>
      </c>
      <c r="M15" s="15" t="n">
        <v>5372</v>
      </c>
      <c r="N15" s="15" t="n">
        <v>8646</v>
      </c>
      <c r="O15" s="15" t="n">
        <v>4020</v>
      </c>
      <c r="P15" s="15" t="n">
        <v>2819</v>
      </c>
      <c r="Q15" s="15" t="n">
        <v>1996</v>
      </c>
      <c r="R15" s="15" t="n">
        <v>6082</v>
      </c>
      <c r="S15" s="15" t="n">
        <v>2414</v>
      </c>
      <c r="T15" s="15" t="n">
        <v>2054</v>
      </c>
      <c r="U15" s="15" t="n">
        <v>1350</v>
      </c>
      <c r="V15" s="15" t="n">
        <v>3217</v>
      </c>
      <c r="W15" s="15" t="n">
        <v>1394</v>
      </c>
      <c r="X15" s="15" t="n">
        <v>9100</v>
      </c>
      <c r="Y15" s="15" t="n">
        <v>8392</v>
      </c>
      <c r="Z15" s="15" t="n">
        <v>8062</v>
      </c>
      <c r="AA15" s="15" t="n">
        <v>2737</v>
      </c>
      <c r="AB15" s="15" t="n">
        <v>3319</v>
      </c>
      <c r="AC15" s="15" t="n">
        <v>3568</v>
      </c>
      <c r="AD15" s="15" t="n">
        <v>1605</v>
      </c>
      <c r="AE15" s="15" t="n">
        <v>1750</v>
      </c>
      <c r="AF15" s="15" t="n">
        <v>1277</v>
      </c>
      <c r="AG15" s="15" t="n">
        <v>3054</v>
      </c>
      <c r="AH15" s="15" t="n">
        <v>3465</v>
      </c>
      <c r="AI15" s="15" t="n">
        <v>4036</v>
      </c>
      <c r="AJ15" s="15" t="n">
        <v>1618</v>
      </c>
      <c r="AK15" s="15" t="n">
        <v>2021</v>
      </c>
      <c r="AL15" s="15" t="n">
        <v>823</v>
      </c>
      <c r="AM15" s="15" t="n">
        <v>881</v>
      </c>
      <c r="AN15" s="15" t="n">
        <v>234</v>
      </c>
      <c r="AO15" s="15" t="n">
        <v>2555</v>
      </c>
      <c r="AP15" s="15" t="n">
        <v>196</v>
      </c>
      <c r="AQ15" s="15" t="n">
        <v>0</v>
      </c>
    </row>
    <row r="16" customFormat="false" ht="15" hidden="false" customHeight="false" outlineLevel="0" collapsed="false">
      <c r="A16" s="14" t="s">
        <v>106</v>
      </c>
      <c r="B16" s="15" t="n">
        <v>44589</v>
      </c>
      <c r="C16" s="15" t="n">
        <v>17032</v>
      </c>
      <c r="D16" s="15" t="n">
        <v>13948</v>
      </c>
      <c r="E16" s="15" t="n">
        <v>10868</v>
      </c>
      <c r="F16" s="15" t="n">
        <v>5170</v>
      </c>
      <c r="G16" s="15" t="n">
        <v>6894</v>
      </c>
      <c r="H16" s="15" t="n">
        <v>5427</v>
      </c>
      <c r="I16" s="15" t="n">
        <v>2538</v>
      </c>
      <c r="J16" s="15"/>
      <c r="K16" s="15"/>
      <c r="L16" s="15" t="n">
        <v>10687</v>
      </c>
      <c r="M16" s="15" t="n">
        <v>4239</v>
      </c>
      <c r="N16" s="15" t="n">
        <v>6889</v>
      </c>
      <c r="O16" s="15" t="n">
        <v>4218</v>
      </c>
      <c r="P16" s="15" t="n">
        <v>3261</v>
      </c>
      <c r="Q16" s="15" t="n">
        <v>2479</v>
      </c>
      <c r="R16" s="15" t="n">
        <v>7226</v>
      </c>
      <c r="S16" s="15" t="n">
        <v>3063</v>
      </c>
      <c r="T16" s="15" t="n">
        <v>1336</v>
      </c>
      <c r="U16" s="15" t="n">
        <v>1243</v>
      </c>
      <c r="V16" s="15" t="n">
        <v>3768</v>
      </c>
      <c r="W16" s="15" t="n">
        <v>1335</v>
      </c>
      <c r="X16" s="15" t="n">
        <v>10301</v>
      </c>
      <c r="Y16" s="15" t="n">
        <v>5325</v>
      </c>
      <c r="Z16" s="15" t="n">
        <v>7036</v>
      </c>
      <c r="AA16" s="15" t="n">
        <v>4028</v>
      </c>
      <c r="AB16" s="15" t="n">
        <v>3497</v>
      </c>
      <c r="AC16" s="15" t="n">
        <v>7666</v>
      </c>
      <c r="AD16" s="15" t="n">
        <v>2926</v>
      </c>
      <c r="AE16" s="15" t="n">
        <v>2802</v>
      </c>
      <c r="AF16" s="15" t="n">
        <v>1161</v>
      </c>
      <c r="AG16" s="15" t="n">
        <v>1754</v>
      </c>
      <c r="AH16" s="15" t="n">
        <v>3665</v>
      </c>
      <c r="AI16" s="15" t="n">
        <v>7727</v>
      </c>
      <c r="AJ16" s="15" t="n">
        <v>3471</v>
      </c>
      <c r="AK16" s="15" t="n">
        <v>4710</v>
      </c>
      <c r="AL16" s="15" t="n">
        <v>1036</v>
      </c>
      <c r="AM16" s="15" t="n">
        <v>1475</v>
      </c>
      <c r="AN16" s="15" t="n">
        <v>599</v>
      </c>
      <c r="AO16" s="15" t="n">
        <v>629</v>
      </c>
      <c r="AP16" s="15" t="n">
        <v>233</v>
      </c>
      <c r="AQ16" s="15" t="n">
        <v>0</v>
      </c>
    </row>
    <row r="17" customFormat="false" ht="15" hidden="false" customHeight="false" outlineLevel="0" collapsed="false">
      <c r="A17" s="14" t="s">
        <v>107</v>
      </c>
      <c r="B17" s="15" t="n">
        <v>48187</v>
      </c>
      <c r="C17" s="15" t="n">
        <v>19127</v>
      </c>
      <c r="D17" s="15" t="n">
        <v>17760</v>
      </c>
      <c r="E17" s="15" t="n">
        <v>6958</v>
      </c>
      <c r="F17" s="15" t="n">
        <v>6227</v>
      </c>
      <c r="G17" s="15" t="n">
        <v>7167</v>
      </c>
      <c r="H17" s="15" t="n">
        <v>5810</v>
      </c>
      <c r="I17" s="15" t="n">
        <v>3297</v>
      </c>
      <c r="J17" s="15"/>
      <c r="K17" s="15"/>
      <c r="L17" s="15" t="n">
        <v>15581</v>
      </c>
      <c r="M17" s="15" t="n">
        <v>6220</v>
      </c>
      <c r="N17" s="15" t="n">
        <v>7003</v>
      </c>
      <c r="O17" s="15" t="n">
        <v>3963</v>
      </c>
      <c r="P17" s="15" t="n">
        <v>3555</v>
      </c>
      <c r="Q17" s="15" t="n">
        <v>3403</v>
      </c>
      <c r="R17" s="15" t="n">
        <v>8817</v>
      </c>
      <c r="S17" s="15" t="n">
        <v>3171</v>
      </c>
      <c r="T17" s="15" t="n">
        <v>3015</v>
      </c>
      <c r="U17" s="15" t="n">
        <v>2726</v>
      </c>
      <c r="V17" s="15" t="n">
        <v>3651</v>
      </c>
      <c r="W17" s="15" t="n">
        <v>2149</v>
      </c>
      <c r="X17" s="15" t="n">
        <v>11166</v>
      </c>
      <c r="Y17" s="15" t="n">
        <v>5706</v>
      </c>
      <c r="Z17" s="15" t="n">
        <v>8871</v>
      </c>
      <c r="AA17" s="15" t="n">
        <v>2485</v>
      </c>
      <c r="AB17" s="15" t="n">
        <v>3586</v>
      </c>
      <c r="AC17" s="15" t="n">
        <v>4512</v>
      </c>
      <c r="AD17" s="15" t="n">
        <v>5038</v>
      </c>
      <c r="AE17" s="15" t="n">
        <v>4683</v>
      </c>
      <c r="AF17" s="15" t="n">
        <v>1254</v>
      </c>
      <c r="AG17" s="15" t="n">
        <v>3996</v>
      </c>
      <c r="AH17" s="15" t="n">
        <v>3947</v>
      </c>
      <c r="AI17" s="15" t="n">
        <v>4482</v>
      </c>
      <c r="AJ17" s="15" t="n">
        <v>3435</v>
      </c>
      <c r="AK17" s="15" t="n">
        <v>5126</v>
      </c>
      <c r="AL17" s="15" t="n">
        <v>828</v>
      </c>
      <c r="AM17" s="15" t="n">
        <v>1040</v>
      </c>
      <c r="AN17" s="15" t="n">
        <v>1386</v>
      </c>
      <c r="AO17" s="15" t="n">
        <v>355</v>
      </c>
      <c r="AP17" s="15" t="n">
        <v>0</v>
      </c>
      <c r="AQ17" s="15" t="n">
        <v>6</v>
      </c>
    </row>
    <row r="18" customFormat="false" ht="15" hidden="false" customHeight="false" outlineLevel="0" collapsed="false">
      <c r="A18" s="14" t="s">
        <v>108</v>
      </c>
      <c r="B18" s="15" t="n">
        <v>28331</v>
      </c>
      <c r="C18" s="15" t="n">
        <v>14922</v>
      </c>
      <c r="D18" s="15" t="n">
        <v>13544</v>
      </c>
      <c r="E18" s="15" t="n">
        <v>5871</v>
      </c>
      <c r="F18" s="15" t="n">
        <v>5115</v>
      </c>
      <c r="G18" s="15" t="n">
        <v>12659</v>
      </c>
      <c r="H18" s="15" t="n">
        <v>5304</v>
      </c>
      <c r="I18" s="15" t="n">
        <v>2123</v>
      </c>
      <c r="J18" s="15"/>
      <c r="K18" s="15"/>
      <c r="L18" s="15" t="n">
        <v>7167</v>
      </c>
      <c r="M18" s="15" t="n">
        <v>3067</v>
      </c>
      <c r="N18" s="15" t="n">
        <v>6477</v>
      </c>
      <c r="O18" s="15" t="n">
        <v>3333</v>
      </c>
      <c r="P18" s="15" t="n">
        <v>3038</v>
      </c>
      <c r="Q18" s="15" t="n">
        <v>2261</v>
      </c>
      <c r="R18" s="15" t="n">
        <v>4956</v>
      </c>
      <c r="S18" s="15" t="n">
        <v>2555</v>
      </c>
      <c r="T18" s="15" t="n">
        <v>2279</v>
      </c>
      <c r="U18" s="15" t="n">
        <v>1270</v>
      </c>
      <c r="V18" s="15" t="n">
        <v>2624</v>
      </c>
      <c r="W18" s="15" t="n">
        <v>1371</v>
      </c>
      <c r="X18" s="15" t="n">
        <v>11732</v>
      </c>
      <c r="Y18" s="15" t="n">
        <v>6049</v>
      </c>
      <c r="Z18" s="15" t="n">
        <v>9639</v>
      </c>
      <c r="AA18" s="15" t="n">
        <v>2551</v>
      </c>
      <c r="AB18" s="15" t="n">
        <v>3283</v>
      </c>
      <c r="AC18" s="15" t="n">
        <v>4590</v>
      </c>
      <c r="AD18" s="15" t="n">
        <v>1629</v>
      </c>
      <c r="AE18" s="15" t="n">
        <v>1539</v>
      </c>
      <c r="AF18" s="15" t="n">
        <v>1634</v>
      </c>
      <c r="AG18" s="15" t="n">
        <v>1723</v>
      </c>
      <c r="AH18" s="15" t="n">
        <v>2841</v>
      </c>
      <c r="AI18" s="15" t="n">
        <v>3079</v>
      </c>
      <c r="AJ18" s="15" t="n">
        <v>80</v>
      </c>
      <c r="AK18" s="15" t="n">
        <v>142</v>
      </c>
      <c r="AL18" s="15" t="n">
        <v>795</v>
      </c>
      <c r="AM18" s="15" t="n">
        <v>612</v>
      </c>
      <c r="AN18" s="15" t="n">
        <v>0</v>
      </c>
      <c r="AO18" s="15" t="n">
        <v>617</v>
      </c>
      <c r="AP18" s="15" t="n">
        <v>0</v>
      </c>
      <c r="AQ18" s="15" t="n">
        <v>4</v>
      </c>
    </row>
    <row r="19" customFormat="false" ht="15" hidden="false" customHeight="false" outlineLevel="0" collapsed="false">
      <c r="A19" s="14" t="s">
        <v>109</v>
      </c>
      <c r="B19" s="15" t="n">
        <v>33520</v>
      </c>
      <c r="C19" s="15" t="n">
        <v>14461</v>
      </c>
      <c r="D19" s="15" t="n">
        <v>18456</v>
      </c>
      <c r="E19" s="15" t="n">
        <v>6297</v>
      </c>
      <c r="F19" s="15" t="n">
        <v>5622</v>
      </c>
      <c r="G19" s="15" t="n">
        <v>5363</v>
      </c>
      <c r="H19" s="15" t="n">
        <v>5367</v>
      </c>
      <c r="I19" s="15" t="n">
        <v>2251</v>
      </c>
      <c r="J19" s="15"/>
      <c r="K19" s="15"/>
      <c r="L19" s="15" t="n">
        <v>9425</v>
      </c>
      <c r="M19" s="15" t="n">
        <v>3891</v>
      </c>
      <c r="N19" s="15" t="n">
        <v>7374</v>
      </c>
      <c r="O19" s="15" t="n">
        <v>3141</v>
      </c>
      <c r="P19" s="15" t="n">
        <v>4169</v>
      </c>
      <c r="Q19" s="15" t="n">
        <v>2506</v>
      </c>
      <c r="R19" s="15" t="n">
        <v>6724</v>
      </c>
      <c r="S19" s="15" t="n">
        <v>3447</v>
      </c>
      <c r="T19" s="15" t="n">
        <v>1436</v>
      </c>
      <c r="U19" s="15" t="n">
        <v>1590</v>
      </c>
      <c r="V19" s="15" t="n">
        <v>3162</v>
      </c>
      <c r="W19" s="15" t="n">
        <v>1362</v>
      </c>
      <c r="X19" s="15" t="n">
        <v>12308</v>
      </c>
      <c r="Y19" s="15" t="n">
        <v>6374</v>
      </c>
      <c r="Z19" s="15" t="n">
        <v>11438</v>
      </c>
      <c r="AA19" s="15" t="n">
        <v>3556</v>
      </c>
      <c r="AB19" s="15" t="n">
        <v>3436</v>
      </c>
      <c r="AC19" s="15" t="n">
        <v>4706</v>
      </c>
      <c r="AD19" s="15" t="n">
        <v>2363</v>
      </c>
      <c r="AE19" s="15" t="n">
        <v>1820</v>
      </c>
      <c r="AF19" s="15" t="n">
        <v>1797</v>
      </c>
      <c r="AG19" s="15" t="n">
        <v>3394</v>
      </c>
      <c r="AH19" s="15" t="n">
        <v>2949</v>
      </c>
      <c r="AI19" s="15" t="n">
        <v>5047</v>
      </c>
      <c r="AJ19" s="15" t="n">
        <v>52</v>
      </c>
      <c r="AK19" s="15" t="n">
        <v>93</v>
      </c>
      <c r="AL19" s="15" t="n">
        <v>329</v>
      </c>
      <c r="AM19" s="15" t="n">
        <v>710</v>
      </c>
      <c r="AN19" s="15" t="n">
        <v>0</v>
      </c>
      <c r="AO19" s="15" t="n">
        <v>773</v>
      </c>
      <c r="AP19" s="15" t="n">
        <v>0</v>
      </c>
      <c r="AQ19" s="15" t="n">
        <v>0</v>
      </c>
    </row>
    <row r="20" customFormat="false" ht="15" hidden="false" customHeight="false" outlineLevel="0" collapsed="false">
      <c r="A20" s="14" t="s">
        <v>110</v>
      </c>
      <c r="B20" s="15" t="n">
        <v>30987</v>
      </c>
      <c r="C20" s="15" t="n">
        <v>14693</v>
      </c>
      <c r="D20" s="15" t="n">
        <v>15927</v>
      </c>
      <c r="E20" s="15" t="n">
        <v>6316</v>
      </c>
      <c r="F20" s="15" t="n">
        <v>5530</v>
      </c>
      <c r="G20" s="15" t="n">
        <v>12295</v>
      </c>
      <c r="H20" s="15" t="n">
        <v>5060</v>
      </c>
      <c r="I20" s="15" t="n">
        <v>2295</v>
      </c>
      <c r="J20" s="15"/>
      <c r="K20" s="15"/>
      <c r="L20" s="15" t="n">
        <v>9428</v>
      </c>
      <c r="M20" s="15" t="n">
        <v>3680</v>
      </c>
      <c r="N20" s="15" t="n">
        <v>7649</v>
      </c>
      <c r="O20" s="15" t="n">
        <v>3947</v>
      </c>
      <c r="P20" s="15" t="n">
        <v>4321</v>
      </c>
      <c r="Q20" s="15" t="n">
        <v>3265</v>
      </c>
      <c r="R20" s="15" t="n">
        <v>6416</v>
      </c>
      <c r="S20" s="15" t="n">
        <v>3021</v>
      </c>
      <c r="T20" s="15" t="n">
        <v>1565</v>
      </c>
      <c r="U20" s="15" t="n">
        <v>1554</v>
      </c>
      <c r="V20" s="15" t="n">
        <v>3156</v>
      </c>
      <c r="W20" s="15" t="n">
        <v>1547</v>
      </c>
      <c r="X20" s="15" t="n">
        <v>16557</v>
      </c>
      <c r="Y20" s="15" t="n">
        <v>5996</v>
      </c>
      <c r="Z20" s="15" t="n">
        <v>9973</v>
      </c>
      <c r="AA20" s="15" t="n">
        <v>4880</v>
      </c>
      <c r="AB20" s="15" t="n">
        <v>3574</v>
      </c>
      <c r="AC20" s="15" t="n">
        <v>6297</v>
      </c>
      <c r="AD20" s="15" t="n">
        <v>2135</v>
      </c>
      <c r="AE20" s="15" t="n">
        <v>1873</v>
      </c>
      <c r="AF20" s="15" t="n">
        <v>1235</v>
      </c>
      <c r="AG20" s="15" t="n">
        <v>2623</v>
      </c>
      <c r="AH20" s="15" t="n">
        <v>2828</v>
      </c>
      <c r="AI20" s="15" t="n">
        <v>4138</v>
      </c>
      <c r="AJ20" s="15" t="n">
        <v>35</v>
      </c>
      <c r="AK20" s="15" t="n">
        <v>66</v>
      </c>
      <c r="AL20" s="15" t="n">
        <v>1182</v>
      </c>
      <c r="AM20" s="15" t="n">
        <v>966</v>
      </c>
      <c r="AN20" s="15" t="n">
        <v>0</v>
      </c>
      <c r="AO20" s="15" t="n">
        <v>0</v>
      </c>
      <c r="AP20" s="15" t="n">
        <v>0</v>
      </c>
      <c r="AQ20" s="15" t="n">
        <v>6</v>
      </c>
    </row>
    <row r="21" customFormat="false" ht="15" hidden="false" customHeight="false" outlineLevel="0" collapsed="false">
      <c r="A21" s="14" t="s">
        <v>111</v>
      </c>
      <c r="B21" s="15" t="n">
        <v>29792</v>
      </c>
      <c r="C21" s="15" t="n">
        <v>15127</v>
      </c>
      <c r="D21" s="15" t="n">
        <v>18224</v>
      </c>
      <c r="E21" s="15" t="n">
        <v>7492</v>
      </c>
      <c r="F21" s="15" t="n">
        <v>5980</v>
      </c>
      <c r="G21" s="15" t="n">
        <v>6689</v>
      </c>
      <c r="H21" s="15" t="n">
        <v>5378</v>
      </c>
      <c r="I21" s="15" t="n">
        <v>2405</v>
      </c>
      <c r="J21" s="15"/>
      <c r="K21" s="15"/>
      <c r="L21" s="15" t="n">
        <v>8426</v>
      </c>
      <c r="M21" s="15" t="n">
        <v>4289</v>
      </c>
      <c r="N21" s="15" t="n">
        <v>7373</v>
      </c>
      <c r="O21" s="15" t="n">
        <v>4166</v>
      </c>
      <c r="P21" s="15" t="n">
        <v>5746</v>
      </c>
      <c r="Q21" s="15" t="n">
        <v>3595</v>
      </c>
      <c r="R21" s="15" t="n">
        <v>5794</v>
      </c>
      <c r="S21" s="15" t="n">
        <v>2996</v>
      </c>
      <c r="T21" s="15" t="n">
        <v>2363</v>
      </c>
      <c r="U21" s="15" t="n">
        <v>1852</v>
      </c>
      <c r="V21" s="15" t="n">
        <v>2982</v>
      </c>
      <c r="W21" s="15" t="n">
        <v>1122</v>
      </c>
      <c r="X21" s="15" t="n">
        <v>19041</v>
      </c>
      <c r="Y21" s="15" t="n">
        <v>7677</v>
      </c>
      <c r="Z21" s="15" t="n">
        <v>14496</v>
      </c>
      <c r="AA21" s="15" t="n">
        <v>5147</v>
      </c>
      <c r="AB21" s="15" t="n">
        <v>4000</v>
      </c>
      <c r="AC21" s="15" t="n">
        <v>4734</v>
      </c>
      <c r="AD21" s="15" t="n">
        <v>2216</v>
      </c>
      <c r="AE21" s="15" t="n">
        <v>1534</v>
      </c>
      <c r="AF21" s="15" t="n">
        <v>2027</v>
      </c>
      <c r="AG21" s="15" t="n">
        <v>5405</v>
      </c>
      <c r="AH21" s="15" t="n">
        <v>4223</v>
      </c>
      <c r="AI21" s="15" t="n">
        <v>3611</v>
      </c>
      <c r="AJ21" s="15" t="n">
        <v>38</v>
      </c>
      <c r="AK21" s="15" t="n">
        <v>76</v>
      </c>
      <c r="AL21" s="15" t="n">
        <v>766</v>
      </c>
      <c r="AM21" s="15" t="n">
        <v>642</v>
      </c>
      <c r="AN21" s="15" t="n">
        <v>0</v>
      </c>
      <c r="AO21" s="15" t="n">
        <v>212</v>
      </c>
      <c r="AP21" s="15" t="n">
        <v>351</v>
      </c>
      <c r="AQ21" s="15" t="n">
        <v>8</v>
      </c>
    </row>
    <row r="22" customFormat="false" ht="15" hidden="false" customHeight="false" outlineLevel="0" collapsed="false">
      <c r="A22" s="14" t="s">
        <v>112</v>
      </c>
      <c r="B22" s="15" t="n">
        <v>35593</v>
      </c>
      <c r="C22" s="15" t="n">
        <v>22012</v>
      </c>
      <c r="D22" s="15" t="n">
        <v>20248</v>
      </c>
      <c r="E22" s="15" t="n">
        <v>6115</v>
      </c>
      <c r="F22" s="15" t="n">
        <v>5955</v>
      </c>
      <c r="G22" s="15" t="n">
        <v>8941</v>
      </c>
      <c r="H22" s="15" t="n">
        <v>4411</v>
      </c>
      <c r="I22" s="15" t="n">
        <v>2278</v>
      </c>
      <c r="J22" s="15"/>
      <c r="K22" s="15"/>
      <c r="L22" s="15" t="n">
        <v>9820</v>
      </c>
      <c r="M22" s="15" t="n">
        <v>3966</v>
      </c>
      <c r="N22" s="15" t="n">
        <v>8190</v>
      </c>
      <c r="O22" s="15" t="n">
        <v>3927</v>
      </c>
      <c r="P22" s="15" t="n">
        <v>6290</v>
      </c>
      <c r="Q22" s="15" t="n">
        <v>4193</v>
      </c>
      <c r="R22" s="15" t="n">
        <v>7040</v>
      </c>
      <c r="S22" s="15" t="n">
        <v>2682</v>
      </c>
      <c r="T22" s="15" t="n">
        <v>2122</v>
      </c>
      <c r="U22" s="15" t="n">
        <v>1390</v>
      </c>
      <c r="V22" s="15" t="n">
        <v>3014</v>
      </c>
      <c r="W22" s="15" t="n">
        <v>1378</v>
      </c>
      <c r="X22" s="15" t="n">
        <v>22664</v>
      </c>
      <c r="Y22" s="15" t="n">
        <v>9134</v>
      </c>
      <c r="Z22" s="15" t="n">
        <v>12244</v>
      </c>
      <c r="AA22" s="15" t="n">
        <v>5307</v>
      </c>
      <c r="AB22" s="15" t="n">
        <v>4391</v>
      </c>
      <c r="AC22" s="15" t="n">
        <v>4328</v>
      </c>
      <c r="AD22" s="15" t="n">
        <v>2292</v>
      </c>
      <c r="AE22" s="15" t="n">
        <v>1728</v>
      </c>
      <c r="AF22" s="15" t="n">
        <v>2710</v>
      </c>
      <c r="AG22" s="15" t="n">
        <v>5410</v>
      </c>
      <c r="AH22" s="15" t="n">
        <v>3747</v>
      </c>
      <c r="AI22" s="15" t="n">
        <v>3949</v>
      </c>
      <c r="AJ22" s="15" t="n">
        <v>36</v>
      </c>
      <c r="AK22" s="15" t="n">
        <v>63</v>
      </c>
      <c r="AL22" s="15" t="n">
        <v>1548</v>
      </c>
      <c r="AM22" s="15" t="n">
        <v>512</v>
      </c>
      <c r="AN22" s="15" t="n">
        <v>0</v>
      </c>
      <c r="AO22" s="15" t="n">
        <v>369</v>
      </c>
      <c r="AP22" s="15" t="n">
        <v>146</v>
      </c>
      <c r="AQ22" s="15" t="n">
        <v>0</v>
      </c>
    </row>
    <row r="23" customFormat="false" ht="15" hidden="false" customHeight="false" outlineLevel="0" collapsed="false">
      <c r="A23" s="14" t="s">
        <v>113</v>
      </c>
      <c r="B23" s="15" t="n">
        <v>48734</v>
      </c>
      <c r="C23" s="15" t="n">
        <v>14357</v>
      </c>
      <c r="D23" s="15" t="n">
        <v>23287</v>
      </c>
      <c r="E23" s="15" t="n">
        <v>10061</v>
      </c>
      <c r="F23" s="15" t="n">
        <v>7520</v>
      </c>
      <c r="G23" s="15" t="n">
        <v>8567</v>
      </c>
      <c r="H23" s="15" t="n">
        <v>5026</v>
      </c>
      <c r="I23" s="15" t="n">
        <v>3296</v>
      </c>
      <c r="J23" s="15"/>
      <c r="K23" s="15" t="n">
        <v>9382</v>
      </c>
      <c r="L23" s="15" t="n">
        <v>8838</v>
      </c>
      <c r="M23" s="15" t="n">
        <v>4958</v>
      </c>
      <c r="N23" s="15" t="n">
        <v>8715</v>
      </c>
      <c r="O23" s="15" t="n">
        <v>3784</v>
      </c>
      <c r="P23" s="15" t="n">
        <v>3113</v>
      </c>
      <c r="Q23" s="15" t="n">
        <v>5187</v>
      </c>
      <c r="R23" s="15" t="n">
        <v>7131</v>
      </c>
      <c r="S23" s="15" t="n">
        <v>2219</v>
      </c>
      <c r="T23" s="15" t="n">
        <v>1925</v>
      </c>
      <c r="U23" s="15" t="n">
        <v>1148</v>
      </c>
      <c r="V23" s="15" t="n">
        <v>3176</v>
      </c>
      <c r="W23" s="15" t="n">
        <v>2241</v>
      </c>
      <c r="X23" s="15" t="n">
        <v>17202</v>
      </c>
      <c r="Y23" s="15" t="n">
        <v>7680</v>
      </c>
      <c r="Z23" s="15" t="n">
        <v>13941</v>
      </c>
      <c r="AA23" s="15" t="n">
        <v>5368</v>
      </c>
      <c r="AB23" s="15" t="n">
        <v>3887</v>
      </c>
      <c r="AC23" s="15" t="n">
        <v>3558</v>
      </c>
      <c r="AD23" s="15" t="n">
        <v>2520</v>
      </c>
      <c r="AE23" s="15" t="n">
        <v>1819</v>
      </c>
      <c r="AF23" s="15" t="n">
        <v>2166</v>
      </c>
      <c r="AG23" s="15" t="n">
        <v>3662</v>
      </c>
      <c r="AH23" s="15" t="n">
        <v>3112</v>
      </c>
      <c r="AI23" s="15" t="n">
        <v>3997</v>
      </c>
      <c r="AJ23" s="15" t="n">
        <v>30</v>
      </c>
      <c r="AK23" s="15" t="n">
        <v>68</v>
      </c>
      <c r="AL23" s="15" t="n">
        <v>1116</v>
      </c>
      <c r="AM23" s="15" t="n">
        <v>915</v>
      </c>
      <c r="AN23" s="15" t="n">
        <v>0</v>
      </c>
      <c r="AO23" s="15" t="n">
        <v>967</v>
      </c>
      <c r="AP23" s="15" t="n">
        <v>0</v>
      </c>
      <c r="AQ23" s="15" t="n">
        <v>0</v>
      </c>
    </row>
    <row r="24" customFormat="false" ht="15" hidden="false" customHeight="false" outlineLevel="0" collapsed="false">
      <c r="A24" s="14" t="s">
        <v>114</v>
      </c>
      <c r="B24" s="15" t="n">
        <v>47459</v>
      </c>
      <c r="C24" s="15" t="n">
        <v>29371</v>
      </c>
      <c r="D24" s="15" t="n">
        <v>20493</v>
      </c>
      <c r="E24" s="15" t="n">
        <v>6782</v>
      </c>
      <c r="F24" s="15" t="n">
        <v>5999</v>
      </c>
      <c r="G24" s="15" t="n">
        <v>8985</v>
      </c>
      <c r="H24" s="15" t="n">
        <v>6199</v>
      </c>
      <c r="I24" s="15" t="n">
        <v>2176</v>
      </c>
      <c r="J24" s="15"/>
      <c r="K24" s="15" t="n">
        <v>4756</v>
      </c>
      <c r="L24" s="15" t="n">
        <v>8873</v>
      </c>
      <c r="M24" s="15" t="n">
        <v>4394</v>
      </c>
      <c r="N24" s="15" t="n">
        <v>8610</v>
      </c>
      <c r="O24" s="15" t="n">
        <v>3642</v>
      </c>
      <c r="P24" s="15" t="n">
        <v>5262</v>
      </c>
      <c r="Q24" s="15" t="n">
        <v>3090</v>
      </c>
      <c r="R24" s="15" t="n">
        <v>6000</v>
      </c>
      <c r="S24" s="15" t="n">
        <v>2416</v>
      </c>
      <c r="T24" s="15" t="n">
        <v>2809</v>
      </c>
      <c r="U24" s="15" t="n">
        <v>1536</v>
      </c>
      <c r="V24" s="15" t="n">
        <v>3381</v>
      </c>
      <c r="W24" s="15" t="n">
        <v>1247</v>
      </c>
      <c r="X24" s="15" t="n">
        <v>14835</v>
      </c>
      <c r="Y24" s="15" t="n">
        <v>7374</v>
      </c>
      <c r="Z24" s="15" t="n">
        <v>11886</v>
      </c>
      <c r="AA24" s="15" t="n">
        <v>4275</v>
      </c>
      <c r="AB24" s="15" t="n">
        <v>4687</v>
      </c>
      <c r="AC24" s="15" t="n">
        <v>7381</v>
      </c>
      <c r="AD24" s="15" t="n">
        <v>2262</v>
      </c>
      <c r="AE24" s="15" t="n">
        <v>2234</v>
      </c>
      <c r="AF24" s="15" t="n">
        <v>2395</v>
      </c>
      <c r="AG24" s="15" t="n">
        <v>2786</v>
      </c>
      <c r="AH24" s="15" t="n">
        <v>3801</v>
      </c>
      <c r="AI24" s="15" t="n">
        <v>5984</v>
      </c>
      <c r="AJ24" s="15" t="n">
        <v>50</v>
      </c>
      <c r="AK24" s="15" t="n">
        <v>66</v>
      </c>
      <c r="AL24" s="15" t="n">
        <v>1327</v>
      </c>
      <c r="AM24" s="15" t="n">
        <v>876</v>
      </c>
      <c r="AN24" s="15" t="n">
        <v>0</v>
      </c>
      <c r="AO24" s="15" t="n">
        <v>309</v>
      </c>
      <c r="AP24" s="15" t="n">
        <v>0</v>
      </c>
      <c r="AQ24" s="15" t="n">
        <v>0</v>
      </c>
    </row>
    <row r="25" customFormat="false" ht="15" hidden="false" customHeight="false" outlineLevel="0" collapsed="false">
      <c r="A25" s="14" t="s">
        <v>115</v>
      </c>
      <c r="B25" s="15" t="n">
        <v>54745</v>
      </c>
      <c r="C25" s="15" t="n">
        <v>15047</v>
      </c>
      <c r="D25" s="15" t="n">
        <v>20331</v>
      </c>
      <c r="E25" s="15" t="n">
        <v>7717</v>
      </c>
      <c r="F25" s="15" t="n">
        <v>7101</v>
      </c>
      <c r="G25" s="15" t="n">
        <v>11925</v>
      </c>
      <c r="H25" s="15" t="n">
        <v>5591</v>
      </c>
      <c r="I25" s="15" t="n">
        <v>3723</v>
      </c>
      <c r="J25" s="15" t="n">
        <v>13630</v>
      </c>
      <c r="K25" s="15" t="n">
        <v>1825</v>
      </c>
      <c r="L25" s="15" t="n">
        <v>10556</v>
      </c>
      <c r="M25" s="15" t="n">
        <v>4385</v>
      </c>
      <c r="N25" s="15" t="n">
        <v>7985</v>
      </c>
      <c r="O25" s="15" t="n">
        <v>3977</v>
      </c>
      <c r="P25" s="15" t="n">
        <v>2266</v>
      </c>
      <c r="Q25" s="15" t="n">
        <v>3015</v>
      </c>
      <c r="R25" s="15" t="n">
        <v>8153</v>
      </c>
      <c r="S25" s="15" t="n">
        <v>2964</v>
      </c>
      <c r="T25" s="15" t="n">
        <v>1935</v>
      </c>
      <c r="U25" s="15" t="n">
        <v>1819</v>
      </c>
      <c r="V25" s="15" t="n">
        <v>3694</v>
      </c>
      <c r="W25" s="15" t="n">
        <v>2149</v>
      </c>
      <c r="X25" s="15" t="n">
        <v>12569</v>
      </c>
      <c r="Y25" s="15" t="n">
        <v>6018</v>
      </c>
      <c r="Z25" s="15" t="n">
        <v>9484</v>
      </c>
      <c r="AA25" s="15" t="n">
        <v>4185</v>
      </c>
      <c r="AB25" s="15" t="n">
        <v>4423</v>
      </c>
      <c r="AC25" s="15" t="n">
        <v>5876</v>
      </c>
      <c r="AD25" s="15" t="n">
        <v>2671</v>
      </c>
      <c r="AE25" s="15" t="n">
        <v>2405</v>
      </c>
      <c r="AF25" s="15" t="n">
        <v>1552</v>
      </c>
      <c r="AG25" s="15" t="n">
        <v>2103</v>
      </c>
      <c r="AH25" s="15" t="n">
        <v>3466</v>
      </c>
      <c r="AI25" s="15" t="n">
        <v>7310</v>
      </c>
      <c r="AJ25" s="15" t="n">
        <v>59</v>
      </c>
      <c r="AK25" s="15" t="n">
        <v>114</v>
      </c>
      <c r="AL25" s="15" t="n">
        <v>1031</v>
      </c>
      <c r="AM25" s="15" t="n">
        <v>218</v>
      </c>
      <c r="AN25" s="15" t="n">
        <v>185</v>
      </c>
      <c r="AO25" s="15" t="n">
        <v>676</v>
      </c>
      <c r="AP25" s="15" t="n">
        <v>177</v>
      </c>
      <c r="AQ25" s="15" t="n">
        <v>0</v>
      </c>
    </row>
    <row r="26" customFormat="false" ht="15" hidden="false" customHeight="false" outlineLevel="0" collapsed="false">
      <c r="A26" s="14" t="s">
        <v>116</v>
      </c>
      <c r="B26" s="15" t="n">
        <v>49986</v>
      </c>
      <c r="C26" s="15" t="n">
        <v>19273</v>
      </c>
      <c r="D26" s="15" t="n">
        <v>16851</v>
      </c>
      <c r="E26" s="15" t="n">
        <v>6584</v>
      </c>
      <c r="F26" s="15" t="n">
        <v>7595</v>
      </c>
      <c r="G26" s="15" t="n">
        <v>6515</v>
      </c>
      <c r="H26" s="15" t="n">
        <v>5277</v>
      </c>
      <c r="I26" s="15" t="n">
        <v>2513</v>
      </c>
      <c r="J26" s="15" t="n">
        <v>5728</v>
      </c>
      <c r="K26" s="15" t="n">
        <v>3547</v>
      </c>
      <c r="L26" s="15" t="n">
        <v>10977</v>
      </c>
      <c r="M26" s="15" t="n">
        <v>3960</v>
      </c>
      <c r="N26" s="15" t="n">
        <v>6128</v>
      </c>
      <c r="O26" s="15" t="n">
        <v>5412</v>
      </c>
      <c r="P26" s="15" t="n">
        <v>2799</v>
      </c>
      <c r="Q26" s="15" t="n">
        <v>3139</v>
      </c>
      <c r="R26" s="15" t="n">
        <v>7421</v>
      </c>
      <c r="S26" s="15" t="n">
        <v>2114</v>
      </c>
      <c r="T26" s="15" t="n">
        <v>1742</v>
      </c>
      <c r="U26" s="15" t="n">
        <v>1817</v>
      </c>
      <c r="V26" s="15" t="n">
        <v>3996</v>
      </c>
      <c r="W26" s="15" t="n">
        <v>1423</v>
      </c>
      <c r="X26" s="15" t="n">
        <v>10881</v>
      </c>
      <c r="Y26" s="15" t="n">
        <v>6517</v>
      </c>
      <c r="Z26" s="15" t="n">
        <v>8992</v>
      </c>
      <c r="AA26" s="15" t="n">
        <v>3904</v>
      </c>
      <c r="AB26" s="15" t="n">
        <v>4025</v>
      </c>
      <c r="AC26" s="15" t="n">
        <v>5208</v>
      </c>
      <c r="AD26" s="15" t="n">
        <v>2405</v>
      </c>
      <c r="AE26" s="15" t="n">
        <v>1949</v>
      </c>
      <c r="AF26" s="15" t="n">
        <v>967</v>
      </c>
      <c r="AG26" s="15" t="n">
        <v>3857</v>
      </c>
      <c r="AH26" s="15" t="n">
        <v>3760</v>
      </c>
      <c r="AI26" s="15" t="n">
        <v>3751</v>
      </c>
      <c r="AJ26" s="15" t="n">
        <v>381</v>
      </c>
      <c r="AK26" s="15" t="n">
        <v>690</v>
      </c>
      <c r="AL26" s="15" t="n">
        <v>935</v>
      </c>
      <c r="AM26" s="15" t="n">
        <v>205</v>
      </c>
      <c r="AN26" s="15" t="n">
        <v>0</v>
      </c>
      <c r="AO26" s="15" t="n">
        <v>205</v>
      </c>
      <c r="AP26" s="15" t="n">
        <v>99</v>
      </c>
      <c r="AQ26" s="15" t="n">
        <v>0</v>
      </c>
    </row>
    <row r="27" customFormat="false" ht="15" hidden="false" customHeight="false" outlineLevel="0" collapsed="false">
      <c r="A27" s="14" t="s">
        <v>117</v>
      </c>
      <c r="B27" s="15" t="n">
        <v>46973</v>
      </c>
      <c r="C27" s="15" t="n">
        <v>25750</v>
      </c>
      <c r="D27" s="15" t="n">
        <v>20059</v>
      </c>
      <c r="E27" s="15" t="n">
        <v>13568</v>
      </c>
      <c r="F27" s="15" t="n">
        <v>6170</v>
      </c>
      <c r="G27" s="15" t="n">
        <v>7909</v>
      </c>
      <c r="H27" s="15" t="n">
        <v>5054</v>
      </c>
      <c r="I27" s="15" t="n">
        <v>2424</v>
      </c>
      <c r="J27" s="15" t="n">
        <v>2143</v>
      </c>
      <c r="K27" s="15" t="n">
        <v>1887</v>
      </c>
      <c r="L27" s="15" t="n">
        <v>9901</v>
      </c>
      <c r="M27" s="15" t="n">
        <v>4728</v>
      </c>
      <c r="N27" s="15" t="n">
        <v>8005</v>
      </c>
      <c r="O27" s="15" t="n">
        <v>3342</v>
      </c>
      <c r="P27" s="15" t="n">
        <v>3721</v>
      </c>
      <c r="Q27" s="15" t="n">
        <v>2473</v>
      </c>
      <c r="R27" s="15" t="n">
        <v>7044</v>
      </c>
      <c r="S27" s="15" t="n">
        <v>3891</v>
      </c>
      <c r="T27" s="15" t="n">
        <v>2173</v>
      </c>
      <c r="U27" s="15" t="n">
        <v>1406</v>
      </c>
      <c r="V27" s="15" t="n">
        <v>3536</v>
      </c>
      <c r="W27" s="15" t="n">
        <v>1120</v>
      </c>
      <c r="X27" s="15" t="n">
        <v>9440</v>
      </c>
      <c r="Y27" s="15" t="n">
        <v>5935</v>
      </c>
      <c r="Z27" s="15" t="n">
        <v>8678</v>
      </c>
      <c r="AA27" s="15" t="n">
        <v>4268</v>
      </c>
      <c r="AB27" s="15" t="n">
        <v>3290</v>
      </c>
      <c r="AC27" s="15" t="n">
        <v>4932</v>
      </c>
      <c r="AD27" s="15" t="n">
        <v>2432</v>
      </c>
      <c r="AE27" s="15" t="n">
        <v>2233</v>
      </c>
      <c r="AF27" s="15" t="n">
        <v>1250</v>
      </c>
      <c r="AG27" s="15" t="n">
        <v>2818</v>
      </c>
      <c r="AH27" s="15" t="n">
        <v>2923</v>
      </c>
      <c r="AI27" s="15" t="n">
        <v>5389</v>
      </c>
      <c r="AJ27" s="15" t="n">
        <v>1679</v>
      </c>
      <c r="AK27" s="15" t="n">
        <v>3256</v>
      </c>
      <c r="AL27" s="15" t="n">
        <v>713</v>
      </c>
      <c r="AM27" s="15" t="n">
        <v>1204</v>
      </c>
      <c r="AN27" s="15" t="n">
        <v>219</v>
      </c>
      <c r="AO27" s="15" t="n">
        <v>102</v>
      </c>
      <c r="AP27" s="15" t="n">
        <v>172</v>
      </c>
      <c r="AQ27" s="15" t="n">
        <v>12</v>
      </c>
    </row>
    <row r="28" customFormat="false" ht="15" hidden="false" customHeight="false" outlineLevel="0" collapsed="false">
      <c r="A28" s="14" t="s">
        <v>118</v>
      </c>
      <c r="B28" s="15" t="n">
        <v>41917</v>
      </c>
      <c r="C28" s="15" t="n">
        <v>14583</v>
      </c>
      <c r="D28" s="15" t="n">
        <v>17409</v>
      </c>
      <c r="E28" s="15" t="n">
        <v>6866</v>
      </c>
      <c r="F28" s="15" t="n">
        <v>7823</v>
      </c>
      <c r="G28" s="15" t="n">
        <v>11896</v>
      </c>
      <c r="H28" s="15" t="n">
        <v>5294</v>
      </c>
      <c r="I28" s="15" t="n">
        <v>2332</v>
      </c>
      <c r="J28" s="15" t="n">
        <v>1906</v>
      </c>
      <c r="K28" s="15" t="n">
        <v>2504</v>
      </c>
      <c r="L28" s="15" t="n">
        <v>9275</v>
      </c>
      <c r="M28" s="15" t="n">
        <v>4827</v>
      </c>
      <c r="N28" s="15" t="n">
        <v>9070</v>
      </c>
      <c r="O28" s="15" t="n">
        <v>4111</v>
      </c>
      <c r="P28" s="15" t="n">
        <v>3397</v>
      </c>
      <c r="Q28" s="15" t="n">
        <v>2741</v>
      </c>
      <c r="R28" s="15" t="n">
        <v>7979</v>
      </c>
      <c r="S28" s="15" t="n">
        <v>2826</v>
      </c>
      <c r="T28" s="15" t="n">
        <v>2412</v>
      </c>
      <c r="U28" s="15" t="n">
        <v>1796</v>
      </c>
      <c r="V28" s="15" t="n">
        <v>3312</v>
      </c>
      <c r="W28" s="15" t="n">
        <v>1572</v>
      </c>
      <c r="X28" s="15" t="n">
        <v>7311</v>
      </c>
      <c r="Y28" s="15" t="n">
        <v>5906</v>
      </c>
      <c r="Z28" s="15" t="n">
        <v>8423</v>
      </c>
      <c r="AA28" s="15" t="n">
        <v>3477</v>
      </c>
      <c r="AB28" s="15" t="n">
        <v>3919</v>
      </c>
      <c r="AC28" s="15" t="n">
        <v>4456</v>
      </c>
      <c r="AD28" s="15" t="n">
        <v>1896</v>
      </c>
      <c r="AE28" s="15" t="n">
        <v>1973</v>
      </c>
      <c r="AF28" s="15" t="n">
        <v>812</v>
      </c>
      <c r="AG28" s="15" t="n">
        <v>3740</v>
      </c>
      <c r="AH28" s="15" t="n">
        <v>3195</v>
      </c>
      <c r="AI28" s="15" t="n">
        <v>3926</v>
      </c>
      <c r="AJ28" s="15" t="n">
        <v>2382</v>
      </c>
      <c r="AK28" s="15" t="n">
        <v>4895</v>
      </c>
      <c r="AL28" s="15" t="n">
        <v>875</v>
      </c>
      <c r="AM28" s="15" t="n">
        <v>820</v>
      </c>
      <c r="AN28" s="15" t="n">
        <v>230</v>
      </c>
      <c r="AO28" s="15" t="n">
        <v>343</v>
      </c>
      <c r="AP28" s="15" t="n">
        <v>414</v>
      </c>
      <c r="AQ28" s="15" t="n">
        <v>0</v>
      </c>
    </row>
    <row r="29" customFormat="false" ht="15" hidden="false" customHeight="false" outlineLevel="0" collapsed="false">
      <c r="A29" s="14" t="s">
        <v>119</v>
      </c>
      <c r="B29" s="15" t="n">
        <v>53192</v>
      </c>
      <c r="C29" s="15" t="n">
        <v>28199</v>
      </c>
      <c r="D29" s="15" t="n">
        <v>18992</v>
      </c>
      <c r="E29" s="15" t="n">
        <v>9367</v>
      </c>
      <c r="F29" s="15" t="n">
        <v>8356</v>
      </c>
      <c r="G29" s="15" t="n">
        <v>8550</v>
      </c>
      <c r="H29" s="15" t="n">
        <v>4503</v>
      </c>
      <c r="I29" s="15" t="n">
        <v>2637</v>
      </c>
      <c r="J29" s="15" t="n">
        <v>1721</v>
      </c>
      <c r="K29" s="15" t="n">
        <v>3603</v>
      </c>
      <c r="L29" s="15" t="n">
        <v>13773</v>
      </c>
      <c r="M29" s="15" t="n">
        <v>6741</v>
      </c>
      <c r="N29" s="15" t="n">
        <v>10437</v>
      </c>
      <c r="O29" s="15" t="n">
        <v>4243</v>
      </c>
      <c r="P29" s="15" t="n">
        <v>2721</v>
      </c>
      <c r="Q29" s="15" t="n">
        <v>2705</v>
      </c>
      <c r="R29" s="15" t="n">
        <v>8969</v>
      </c>
      <c r="S29" s="15" t="n">
        <v>3680</v>
      </c>
      <c r="T29" s="15" t="n">
        <v>2769</v>
      </c>
      <c r="U29" s="15" t="n">
        <v>1546</v>
      </c>
      <c r="V29" s="15" t="n">
        <v>4600</v>
      </c>
      <c r="W29" s="15" t="n">
        <v>1689</v>
      </c>
      <c r="X29" s="15" t="n">
        <v>8860</v>
      </c>
      <c r="Y29" s="15" t="n">
        <v>5755</v>
      </c>
      <c r="Z29" s="15" t="n">
        <v>9648</v>
      </c>
      <c r="AA29" s="15" t="n">
        <v>4334</v>
      </c>
      <c r="AB29" s="15" t="n">
        <v>4849</v>
      </c>
      <c r="AC29" s="15" t="n">
        <v>5154</v>
      </c>
      <c r="AD29" s="15" t="n">
        <v>4685</v>
      </c>
      <c r="AE29" s="15" t="n">
        <v>2902</v>
      </c>
      <c r="AF29" s="15" t="n">
        <v>1108</v>
      </c>
      <c r="AG29" s="15" t="n">
        <v>2418</v>
      </c>
      <c r="AH29" s="15" t="n">
        <v>3991</v>
      </c>
      <c r="AI29" s="15" t="n">
        <v>5132</v>
      </c>
      <c r="AJ29" s="15" t="n">
        <v>2073</v>
      </c>
      <c r="AK29" s="15" t="n">
        <v>3301</v>
      </c>
      <c r="AL29" s="15" t="n">
        <v>1163</v>
      </c>
      <c r="AM29" s="15" t="n">
        <v>654</v>
      </c>
      <c r="AN29" s="15" t="n">
        <v>988</v>
      </c>
      <c r="AO29" s="15" t="n">
        <v>215</v>
      </c>
      <c r="AP29" s="15" t="n">
        <v>296</v>
      </c>
      <c r="AQ29" s="15" t="n">
        <v>0</v>
      </c>
    </row>
    <row r="30" customFormat="false" ht="15" hidden="false" customHeight="false" outlineLevel="0" collapsed="false">
      <c r="A30" s="14" t="s">
        <v>120</v>
      </c>
      <c r="B30" s="15" t="n">
        <v>49180</v>
      </c>
      <c r="C30" s="15" t="n">
        <v>13176</v>
      </c>
      <c r="D30" s="15" t="n">
        <v>17555</v>
      </c>
      <c r="E30" s="15" t="n">
        <v>6281</v>
      </c>
      <c r="F30" s="15" t="n">
        <v>7471</v>
      </c>
      <c r="G30" s="15" t="n">
        <v>7262</v>
      </c>
      <c r="H30" s="15" t="n">
        <v>3648</v>
      </c>
      <c r="I30" s="15" t="n">
        <v>2119</v>
      </c>
      <c r="J30" s="15" t="n">
        <v>2976</v>
      </c>
      <c r="K30" s="15" t="n">
        <v>2020</v>
      </c>
      <c r="L30" s="15" t="n">
        <v>11098</v>
      </c>
      <c r="M30" s="15" t="n">
        <v>4634</v>
      </c>
      <c r="N30" s="15" t="n">
        <v>7765</v>
      </c>
      <c r="O30" s="15" t="n">
        <v>4816</v>
      </c>
      <c r="P30" s="15" t="n">
        <v>2719</v>
      </c>
      <c r="Q30" s="15" t="n">
        <v>2569</v>
      </c>
      <c r="R30" s="15" t="n">
        <v>7375</v>
      </c>
      <c r="S30" s="15" t="n">
        <v>2971</v>
      </c>
      <c r="T30" s="15" t="n">
        <v>2764</v>
      </c>
      <c r="U30" s="15" t="n">
        <v>1801</v>
      </c>
      <c r="V30" s="15" t="n">
        <v>4075</v>
      </c>
      <c r="W30" s="15" t="n">
        <v>2024</v>
      </c>
      <c r="X30" s="15" t="n">
        <v>10764</v>
      </c>
      <c r="Y30" s="15" t="n">
        <v>5645</v>
      </c>
      <c r="Z30" s="15" t="n">
        <v>9310</v>
      </c>
      <c r="AA30" s="15" t="n">
        <v>3326</v>
      </c>
      <c r="AB30" s="15" t="n">
        <v>3851</v>
      </c>
      <c r="AC30" s="15" t="n">
        <v>4632</v>
      </c>
      <c r="AD30" s="15" t="n">
        <v>3358</v>
      </c>
      <c r="AE30" s="15" t="n">
        <v>2705</v>
      </c>
      <c r="AF30" s="15" t="n">
        <v>1775</v>
      </c>
      <c r="AG30" s="15" t="n">
        <v>2315</v>
      </c>
      <c r="AH30" s="15" t="n">
        <v>3515</v>
      </c>
      <c r="AI30" s="15" t="n">
        <v>4992</v>
      </c>
      <c r="AJ30" s="15" t="n">
        <v>1585</v>
      </c>
      <c r="AK30" s="15" t="n">
        <v>1822</v>
      </c>
      <c r="AL30" s="15" t="n">
        <v>725</v>
      </c>
      <c r="AM30" s="15" t="n">
        <v>660</v>
      </c>
      <c r="AN30" s="15" t="n">
        <v>840</v>
      </c>
      <c r="AO30" s="15" t="n">
        <v>1004</v>
      </c>
      <c r="AP30" s="15" t="n">
        <v>0</v>
      </c>
      <c r="AQ30" s="15" t="n">
        <v>0</v>
      </c>
    </row>
    <row r="31" customFormat="false" ht="15" hidden="false" customHeight="false" outlineLevel="0" collapsed="false">
      <c r="A31" s="14" t="s">
        <v>121</v>
      </c>
      <c r="B31" s="15" t="n">
        <v>43881</v>
      </c>
      <c r="C31" s="15" t="n">
        <v>13283</v>
      </c>
      <c r="D31" s="15" t="n">
        <v>15198</v>
      </c>
      <c r="E31" s="15" t="n">
        <v>12370</v>
      </c>
      <c r="F31" s="15" t="n">
        <v>6811</v>
      </c>
      <c r="G31" s="15" t="n">
        <v>6743</v>
      </c>
      <c r="H31" s="15" t="n">
        <v>4096</v>
      </c>
      <c r="I31" s="15" t="n">
        <v>1882</v>
      </c>
      <c r="J31" s="15" t="n">
        <v>2485</v>
      </c>
      <c r="K31" s="15" t="n">
        <v>3236</v>
      </c>
      <c r="L31" s="15" t="n">
        <v>9078</v>
      </c>
      <c r="M31" s="15" t="n">
        <v>4029</v>
      </c>
      <c r="N31" s="15" t="n">
        <v>8030</v>
      </c>
      <c r="O31" s="15" t="n">
        <v>2700</v>
      </c>
      <c r="P31" s="15" t="n">
        <v>4474</v>
      </c>
      <c r="Q31" s="15" t="n">
        <v>3451</v>
      </c>
      <c r="R31" s="15" t="n">
        <v>6501</v>
      </c>
      <c r="S31" s="15" t="n">
        <v>3984</v>
      </c>
      <c r="T31" s="15" t="n">
        <v>2420</v>
      </c>
      <c r="U31" s="15" t="n">
        <v>1049</v>
      </c>
      <c r="V31" s="15" t="n">
        <v>3229</v>
      </c>
      <c r="W31" s="15" t="n">
        <v>1383</v>
      </c>
      <c r="X31" s="15" t="n">
        <v>12134</v>
      </c>
      <c r="Y31" s="15" t="n">
        <v>6618</v>
      </c>
      <c r="Z31" s="15" t="n">
        <v>12970</v>
      </c>
      <c r="AA31" s="15" t="n">
        <v>4368</v>
      </c>
      <c r="AB31" s="15" t="n">
        <v>2700</v>
      </c>
      <c r="AC31" s="15" t="n">
        <v>4384</v>
      </c>
      <c r="AD31" s="15" t="n">
        <v>2430</v>
      </c>
      <c r="AE31" s="15" t="n">
        <v>1844</v>
      </c>
      <c r="AF31" s="15" t="n">
        <v>1135</v>
      </c>
      <c r="AG31" s="15" t="n">
        <v>3121</v>
      </c>
      <c r="AH31" s="15" t="n">
        <v>3245</v>
      </c>
      <c r="AI31" s="15" t="n">
        <v>5869</v>
      </c>
      <c r="AJ31" s="15" t="n">
        <v>55</v>
      </c>
      <c r="AK31" s="15" t="n">
        <v>62</v>
      </c>
      <c r="AL31" s="15" t="n">
        <v>767</v>
      </c>
      <c r="AM31" s="15" t="n">
        <v>664</v>
      </c>
      <c r="AN31" s="15" t="n">
        <v>0</v>
      </c>
      <c r="AO31" s="15" t="n">
        <v>916</v>
      </c>
      <c r="AP31" s="15" t="n">
        <v>166</v>
      </c>
      <c r="AQ31" s="15" t="n">
        <v>0</v>
      </c>
    </row>
    <row r="32" customFormat="false" ht="15" hidden="false" customHeight="false" outlineLevel="0" collapsed="false">
      <c r="A32" s="14" t="s">
        <v>122</v>
      </c>
      <c r="B32" s="15" t="n">
        <v>44237</v>
      </c>
      <c r="C32" s="15" t="n">
        <v>14507</v>
      </c>
      <c r="D32" s="15" t="n">
        <v>16595</v>
      </c>
      <c r="E32" s="15" t="n">
        <v>5943</v>
      </c>
      <c r="F32" s="15" t="n">
        <v>6687</v>
      </c>
      <c r="G32" s="15" t="n">
        <v>6765</v>
      </c>
      <c r="H32" s="15" t="n">
        <v>3984</v>
      </c>
      <c r="I32" s="15" t="n">
        <v>2362</v>
      </c>
      <c r="J32" s="15" t="n">
        <v>2617</v>
      </c>
      <c r="K32" s="15" t="n">
        <v>3257</v>
      </c>
      <c r="L32" s="15" t="n">
        <v>9555</v>
      </c>
      <c r="M32" s="15" t="n">
        <v>3873</v>
      </c>
      <c r="N32" s="15" t="n">
        <v>8602</v>
      </c>
      <c r="O32" s="15" t="n">
        <v>2982</v>
      </c>
      <c r="P32" s="15" t="n">
        <v>3659</v>
      </c>
      <c r="Q32" s="15" t="n">
        <v>3816</v>
      </c>
      <c r="R32" s="15" t="n">
        <v>6794</v>
      </c>
      <c r="S32" s="15" t="n">
        <v>2645</v>
      </c>
      <c r="T32" s="15" t="n">
        <v>2487</v>
      </c>
      <c r="U32" s="15" t="n">
        <v>1872</v>
      </c>
      <c r="V32" s="15" t="n">
        <v>3671</v>
      </c>
      <c r="W32" s="15" t="n">
        <v>1684</v>
      </c>
      <c r="X32" s="15" t="n">
        <v>18378</v>
      </c>
      <c r="Y32" s="15" t="n">
        <v>6982</v>
      </c>
      <c r="Z32" s="15" t="n">
        <v>14364</v>
      </c>
      <c r="AA32" s="15" t="n">
        <v>5824</v>
      </c>
      <c r="AB32" s="15" t="n">
        <v>3075</v>
      </c>
      <c r="AC32" s="15" t="n">
        <v>4421</v>
      </c>
      <c r="AD32" s="15" t="n">
        <v>1641</v>
      </c>
      <c r="AE32" s="15" t="n">
        <v>2261</v>
      </c>
      <c r="AF32" s="15" t="n">
        <v>1275</v>
      </c>
      <c r="AG32" s="15" t="n">
        <v>6639</v>
      </c>
      <c r="AH32" s="15" t="n">
        <v>3200</v>
      </c>
      <c r="AI32" s="15" t="n">
        <v>3768</v>
      </c>
      <c r="AJ32" s="15" t="n">
        <v>56</v>
      </c>
      <c r="AK32" s="15" t="n">
        <v>59</v>
      </c>
      <c r="AL32" s="15" t="n">
        <v>648</v>
      </c>
      <c r="AM32" s="15" t="n">
        <v>885</v>
      </c>
      <c r="AN32" s="15" t="n">
        <v>0</v>
      </c>
      <c r="AO32" s="15" t="n">
        <v>525</v>
      </c>
      <c r="AP32" s="15" t="n">
        <v>0</v>
      </c>
      <c r="AQ32" s="15" t="n">
        <v>0</v>
      </c>
    </row>
    <row r="33" customFormat="false" ht="15" hidden="false" customHeight="false" outlineLevel="0" collapsed="false">
      <c r="A33" s="14" t="s">
        <v>123</v>
      </c>
      <c r="B33" s="15" t="n">
        <v>45996</v>
      </c>
      <c r="C33" s="15" t="n">
        <v>17134</v>
      </c>
      <c r="D33" s="15" t="n">
        <v>19884</v>
      </c>
      <c r="E33" s="15" t="n">
        <v>8675</v>
      </c>
      <c r="F33" s="15" t="n">
        <v>6896</v>
      </c>
      <c r="G33" s="15" t="n">
        <v>6760</v>
      </c>
      <c r="H33" s="15" t="n">
        <v>4818</v>
      </c>
      <c r="I33" s="15" t="n">
        <v>1863</v>
      </c>
      <c r="J33" s="15" t="n">
        <v>2303</v>
      </c>
      <c r="K33" s="15" t="n">
        <v>3230</v>
      </c>
      <c r="L33" s="15" t="n">
        <v>9669</v>
      </c>
      <c r="M33" s="15" t="n">
        <v>4635</v>
      </c>
      <c r="N33" s="15" t="n">
        <v>9562</v>
      </c>
      <c r="O33" s="15" t="n">
        <v>2720</v>
      </c>
      <c r="P33" s="15" t="n">
        <v>6257</v>
      </c>
      <c r="Q33" s="15" t="n">
        <v>7008</v>
      </c>
      <c r="R33" s="15" t="n">
        <v>7221</v>
      </c>
      <c r="S33" s="15" t="n">
        <v>2915</v>
      </c>
      <c r="T33" s="15" t="n">
        <v>2193</v>
      </c>
      <c r="U33" s="15" t="n">
        <v>1932</v>
      </c>
      <c r="V33" s="15" t="n">
        <v>3965</v>
      </c>
      <c r="W33" s="15" t="n">
        <v>2291</v>
      </c>
      <c r="X33" s="15" t="n">
        <v>18886</v>
      </c>
      <c r="Y33" s="15" t="n">
        <v>10312</v>
      </c>
      <c r="Z33" s="15" t="n">
        <v>14704</v>
      </c>
      <c r="AA33" s="15" t="n">
        <v>4894</v>
      </c>
      <c r="AB33" s="15" t="n">
        <v>4089</v>
      </c>
      <c r="AC33" s="15" t="n">
        <v>5912</v>
      </c>
      <c r="AD33" s="15" t="n">
        <v>1632</v>
      </c>
      <c r="AE33" s="15" t="n">
        <v>1296</v>
      </c>
      <c r="AF33" s="15" t="n">
        <v>1548</v>
      </c>
      <c r="AG33" s="15" t="n">
        <v>7547</v>
      </c>
      <c r="AH33" s="15" t="n">
        <v>3170</v>
      </c>
      <c r="AI33" s="15" t="n">
        <v>4230</v>
      </c>
      <c r="AJ33" s="15" t="n">
        <v>59</v>
      </c>
      <c r="AK33" s="15" t="n">
        <v>75</v>
      </c>
      <c r="AL33" s="15" t="n">
        <v>1598</v>
      </c>
      <c r="AM33" s="15" t="n">
        <v>404</v>
      </c>
      <c r="AN33" s="15" t="n">
        <v>0</v>
      </c>
      <c r="AO33" s="15" t="n">
        <v>0</v>
      </c>
      <c r="AP33" s="15" t="n">
        <v>21</v>
      </c>
      <c r="AQ33" s="15" t="n">
        <v>0</v>
      </c>
    </row>
    <row r="34" customFormat="false" ht="15" hidden="false" customHeight="false" outlineLevel="0" collapsed="false">
      <c r="A34" s="14" t="s">
        <v>124</v>
      </c>
      <c r="B34" s="15" t="n">
        <v>44430</v>
      </c>
      <c r="C34" s="15" t="n">
        <v>18099</v>
      </c>
      <c r="D34" s="15" t="n">
        <v>20693</v>
      </c>
      <c r="E34" s="15" t="n">
        <v>6275</v>
      </c>
      <c r="F34" s="15" t="n">
        <v>7737</v>
      </c>
      <c r="G34" s="15" t="n">
        <v>8678</v>
      </c>
      <c r="H34" s="15" t="n">
        <v>4604</v>
      </c>
      <c r="I34" s="15" t="n">
        <v>1973</v>
      </c>
      <c r="J34" s="15" t="n">
        <v>2264</v>
      </c>
      <c r="K34" s="15" t="n">
        <v>2369</v>
      </c>
      <c r="L34" s="15" t="n">
        <v>9764</v>
      </c>
      <c r="M34" s="15" t="n">
        <v>4685</v>
      </c>
      <c r="N34" s="15" t="n">
        <v>7729</v>
      </c>
      <c r="O34" s="15" t="n">
        <v>3648</v>
      </c>
      <c r="P34" s="15" t="n">
        <v>6104</v>
      </c>
      <c r="Q34" s="15" t="n">
        <v>3728</v>
      </c>
      <c r="R34" s="15" t="n">
        <v>6990</v>
      </c>
      <c r="S34" s="15" t="n">
        <v>3026</v>
      </c>
      <c r="T34" s="15" t="n">
        <v>2228</v>
      </c>
      <c r="U34" s="15" t="n">
        <v>1929</v>
      </c>
      <c r="V34" s="15" t="n">
        <v>4179</v>
      </c>
      <c r="W34" s="15" t="n">
        <v>1041</v>
      </c>
      <c r="X34" s="15" t="n">
        <v>21194</v>
      </c>
      <c r="Y34" s="15" t="n">
        <v>7368</v>
      </c>
      <c r="Z34" s="15" t="n">
        <v>14287</v>
      </c>
      <c r="AA34" s="15" t="n">
        <v>5881</v>
      </c>
      <c r="AB34" s="15" t="n">
        <v>4114</v>
      </c>
      <c r="AC34" s="15" t="n">
        <v>4100</v>
      </c>
      <c r="AD34" s="15" t="n">
        <v>2412</v>
      </c>
      <c r="AE34" s="15" t="n">
        <v>2238</v>
      </c>
      <c r="AF34" s="15" t="n">
        <v>2198</v>
      </c>
      <c r="AG34" s="15" t="n">
        <v>5234</v>
      </c>
      <c r="AH34" s="15" t="n">
        <v>2905</v>
      </c>
      <c r="AI34" s="15" t="n">
        <v>4594</v>
      </c>
      <c r="AJ34" s="15" t="n">
        <v>52</v>
      </c>
      <c r="AK34" s="15" t="n">
        <v>84</v>
      </c>
      <c r="AL34" s="15" t="n">
        <v>1114</v>
      </c>
      <c r="AM34" s="15" t="n">
        <v>373</v>
      </c>
      <c r="AN34" s="15" t="n">
        <v>0</v>
      </c>
      <c r="AO34" s="15" t="n">
        <v>980</v>
      </c>
      <c r="AP34" s="15" t="n">
        <v>199</v>
      </c>
      <c r="AQ34" s="15" t="n">
        <v>6</v>
      </c>
    </row>
    <row r="35" customFormat="false" ht="15" hidden="false" customHeight="false" outlineLevel="0" collapsed="false">
      <c r="A35" s="14" t="s">
        <v>125</v>
      </c>
      <c r="B35" s="15" t="n">
        <v>42911</v>
      </c>
      <c r="C35" s="15" t="n">
        <v>17317</v>
      </c>
      <c r="D35" s="15" t="n">
        <v>16449</v>
      </c>
      <c r="E35" s="15" t="n">
        <v>7760</v>
      </c>
      <c r="F35" s="15" t="n">
        <v>8871</v>
      </c>
      <c r="G35" s="15" t="n">
        <v>10415</v>
      </c>
      <c r="H35" s="15" t="n">
        <v>3822</v>
      </c>
      <c r="I35" s="15" t="n">
        <v>2231</v>
      </c>
      <c r="J35" s="15" t="n">
        <v>2862</v>
      </c>
      <c r="K35" s="15" t="n">
        <v>2380</v>
      </c>
      <c r="L35" s="15" t="n">
        <v>8834</v>
      </c>
      <c r="M35" s="15" t="n">
        <v>6245</v>
      </c>
      <c r="N35" s="15" t="n">
        <v>7660</v>
      </c>
      <c r="O35" s="15" t="n">
        <v>4417</v>
      </c>
      <c r="P35" s="15" t="n">
        <v>4685</v>
      </c>
      <c r="Q35" s="15" t="n">
        <v>5473</v>
      </c>
      <c r="R35" s="15" t="n">
        <v>6374</v>
      </c>
      <c r="S35" s="15" t="n">
        <v>2866</v>
      </c>
      <c r="T35" s="15" t="n">
        <v>2262</v>
      </c>
      <c r="U35" s="15" t="n">
        <v>2154</v>
      </c>
      <c r="V35" s="15" t="n">
        <v>4463</v>
      </c>
      <c r="W35" s="15" t="n">
        <v>1245</v>
      </c>
      <c r="X35" s="15" t="n">
        <v>19072</v>
      </c>
      <c r="Y35" s="15" t="n">
        <v>8893</v>
      </c>
      <c r="Z35" s="15" t="n">
        <v>12077</v>
      </c>
      <c r="AA35" s="15" t="n">
        <v>6216</v>
      </c>
      <c r="AB35" s="15" t="n">
        <v>3982</v>
      </c>
      <c r="AC35" s="15" t="n">
        <v>4858</v>
      </c>
      <c r="AD35" s="15" t="n">
        <v>2328</v>
      </c>
      <c r="AE35" s="15" t="n">
        <v>1967</v>
      </c>
      <c r="AF35" s="15" t="n">
        <v>2162</v>
      </c>
      <c r="AG35" s="15" t="n">
        <v>5881</v>
      </c>
      <c r="AH35" s="15" t="n">
        <v>2877</v>
      </c>
      <c r="AI35" s="15" t="n">
        <v>4523</v>
      </c>
      <c r="AJ35" s="15" t="n">
        <v>52</v>
      </c>
      <c r="AK35" s="15" t="n">
        <v>87</v>
      </c>
      <c r="AL35" s="15" t="n">
        <v>1503</v>
      </c>
      <c r="AM35" s="15" t="n">
        <v>658</v>
      </c>
      <c r="AN35" s="15" t="n">
        <v>0</v>
      </c>
      <c r="AO35" s="15" t="n">
        <v>261</v>
      </c>
      <c r="AP35" s="15" t="n">
        <v>0</v>
      </c>
      <c r="AQ35" s="15" t="n">
        <v>0</v>
      </c>
    </row>
    <row r="36" customFormat="false" ht="15" hidden="false" customHeight="false" outlineLevel="0" collapsed="false">
      <c r="A36" s="14" t="s">
        <v>126</v>
      </c>
      <c r="B36" s="15" t="n">
        <v>41679</v>
      </c>
      <c r="C36" s="15" t="n">
        <v>19328</v>
      </c>
      <c r="D36" s="15" t="n">
        <v>18455</v>
      </c>
      <c r="E36" s="15" t="n">
        <v>8216</v>
      </c>
      <c r="F36" s="15" t="n">
        <v>8539</v>
      </c>
      <c r="G36" s="15" t="n">
        <v>10193</v>
      </c>
      <c r="H36" s="15" t="n">
        <v>3802</v>
      </c>
      <c r="I36" s="15" t="n">
        <v>2427</v>
      </c>
      <c r="J36" s="15" t="n">
        <v>2808</v>
      </c>
      <c r="K36" s="15" t="n">
        <v>2831</v>
      </c>
      <c r="L36" s="15" t="n">
        <v>9157</v>
      </c>
      <c r="M36" s="15" t="n">
        <v>3342</v>
      </c>
      <c r="N36" s="15" t="n">
        <v>8579</v>
      </c>
      <c r="O36" s="15" t="n">
        <v>4580</v>
      </c>
      <c r="P36" s="15" t="n">
        <v>4476</v>
      </c>
      <c r="Q36" s="15" t="n">
        <v>3509</v>
      </c>
      <c r="R36" s="15" t="n">
        <v>6876</v>
      </c>
      <c r="S36" s="15" t="n">
        <v>3854</v>
      </c>
      <c r="T36" s="15" t="n">
        <v>2349</v>
      </c>
      <c r="U36" s="15" t="n">
        <v>4358</v>
      </c>
      <c r="V36" s="15" t="n">
        <v>3500</v>
      </c>
      <c r="W36" s="15" t="n">
        <v>1466</v>
      </c>
      <c r="X36" s="15" t="n">
        <v>18180</v>
      </c>
      <c r="Y36" s="15" t="n">
        <v>9195</v>
      </c>
      <c r="Z36" s="15" t="n">
        <v>13734</v>
      </c>
      <c r="AA36" s="15" t="n">
        <v>4371</v>
      </c>
      <c r="AB36" s="15" t="n">
        <v>4926</v>
      </c>
      <c r="AC36" s="15" t="n">
        <v>4314</v>
      </c>
      <c r="AD36" s="15" t="n">
        <v>1462</v>
      </c>
      <c r="AE36" s="15" t="n">
        <v>2489</v>
      </c>
      <c r="AF36" s="15" t="n">
        <v>2937</v>
      </c>
      <c r="AG36" s="15" t="n">
        <v>4191</v>
      </c>
      <c r="AH36" s="15" t="n">
        <v>4339</v>
      </c>
      <c r="AI36" s="15" t="n">
        <v>5854</v>
      </c>
      <c r="AJ36" s="15" t="n">
        <v>65</v>
      </c>
      <c r="AK36" s="15" t="n">
        <v>82</v>
      </c>
      <c r="AL36" s="15" t="n">
        <v>1044</v>
      </c>
      <c r="AM36" s="15" t="n">
        <v>659</v>
      </c>
      <c r="AN36" s="15" t="n">
        <v>0</v>
      </c>
      <c r="AO36" s="15" t="n">
        <v>1112</v>
      </c>
      <c r="AP36" s="15" t="n">
        <v>0</v>
      </c>
      <c r="AQ36" s="15" t="n">
        <v>0</v>
      </c>
    </row>
    <row r="37" customFormat="false" ht="15" hidden="false" customHeight="false" outlineLevel="0" collapsed="false">
      <c r="A37" s="14" t="s">
        <v>127</v>
      </c>
      <c r="B37" s="15" t="n">
        <v>48338</v>
      </c>
      <c r="C37" s="15" t="n">
        <v>19260</v>
      </c>
      <c r="D37" s="15" t="n">
        <v>20273</v>
      </c>
      <c r="E37" s="15" t="n">
        <v>7962</v>
      </c>
      <c r="F37" s="15" t="n">
        <v>7611</v>
      </c>
      <c r="G37" s="15" t="n">
        <v>8073</v>
      </c>
      <c r="H37" s="15" t="n">
        <v>3116</v>
      </c>
      <c r="I37" s="15" t="n">
        <v>1974</v>
      </c>
      <c r="J37" s="15" t="n">
        <v>3301</v>
      </c>
      <c r="K37" s="15" t="n">
        <v>2739</v>
      </c>
      <c r="L37" s="15" t="n">
        <v>11134</v>
      </c>
      <c r="M37" s="15" t="n">
        <v>3895</v>
      </c>
      <c r="N37" s="15" t="n">
        <v>8357</v>
      </c>
      <c r="O37" s="15" t="n">
        <v>3404</v>
      </c>
      <c r="P37" s="15" t="n">
        <v>3536</v>
      </c>
      <c r="Q37" s="15" t="n">
        <v>3667</v>
      </c>
      <c r="R37" s="15" t="n">
        <v>7396</v>
      </c>
      <c r="S37" s="15" t="n">
        <v>2262</v>
      </c>
      <c r="T37" s="15" t="n">
        <v>2670</v>
      </c>
      <c r="U37" s="15" t="n">
        <v>1245</v>
      </c>
      <c r="V37" s="15" t="n">
        <v>3559</v>
      </c>
      <c r="W37" s="15" t="n">
        <v>1495</v>
      </c>
      <c r="X37" s="15" t="n">
        <v>14872</v>
      </c>
      <c r="Y37" s="15" t="n">
        <v>8368</v>
      </c>
      <c r="Z37" s="15" t="n">
        <v>12293</v>
      </c>
      <c r="AA37" s="15" t="n">
        <v>4229</v>
      </c>
      <c r="AB37" s="15" t="n">
        <v>5329</v>
      </c>
      <c r="AC37" s="15" t="n">
        <v>8495</v>
      </c>
      <c r="AD37" s="15" t="n">
        <v>2286</v>
      </c>
      <c r="AE37" s="15" t="n">
        <v>1936</v>
      </c>
      <c r="AF37" s="15" t="n">
        <v>2606</v>
      </c>
      <c r="AG37" s="15" t="n">
        <v>3046</v>
      </c>
      <c r="AH37" s="15" t="n">
        <v>4290</v>
      </c>
      <c r="AI37" s="15" t="n">
        <v>5897</v>
      </c>
      <c r="AJ37" s="15" t="n">
        <v>104</v>
      </c>
      <c r="AK37" s="15" t="n">
        <v>82</v>
      </c>
      <c r="AL37" s="15" t="n">
        <v>1039</v>
      </c>
      <c r="AM37" s="15" t="n">
        <v>838</v>
      </c>
      <c r="AN37" s="15" t="n">
        <v>0</v>
      </c>
      <c r="AO37" s="15" t="n">
        <v>204</v>
      </c>
      <c r="AP37" s="15" t="n">
        <v>184</v>
      </c>
      <c r="AQ37" s="15" t="n">
        <v>8</v>
      </c>
    </row>
    <row r="39" customFormat="false" ht="15" hidden="false" customHeight="false" outlineLevel="0" collapsed="false">
      <c r="A39" s="7" t="s">
        <v>128</v>
      </c>
      <c r="B39" s="16" t="n">
        <v>118</v>
      </c>
      <c r="C39" s="16" t="n">
        <v>118</v>
      </c>
      <c r="D39" s="16" t="n">
        <v>122</v>
      </c>
      <c r="E39" s="16" t="n">
        <v>122</v>
      </c>
      <c r="F39" s="16" t="n">
        <v>196</v>
      </c>
      <c r="G39" s="16" t="n">
        <v>196</v>
      </c>
      <c r="H39" s="16" t="n">
        <v>165</v>
      </c>
      <c r="I39" s="16" t="n">
        <v>165</v>
      </c>
      <c r="J39" s="16" t="n">
        <v>175</v>
      </c>
      <c r="K39" s="16" t="n">
        <v>175</v>
      </c>
      <c r="L39" s="16" t="n">
        <v>372</v>
      </c>
      <c r="M39" s="16" t="n">
        <v>372</v>
      </c>
      <c r="N39" s="16" t="n">
        <v>228</v>
      </c>
      <c r="O39" s="16" t="n">
        <v>228</v>
      </c>
      <c r="P39" s="16" t="n">
        <v>264</v>
      </c>
      <c r="Q39" s="16" t="n">
        <v>264</v>
      </c>
      <c r="R39" s="16" t="n">
        <v>768</v>
      </c>
      <c r="S39" s="16" t="n">
        <v>768</v>
      </c>
      <c r="T39" s="16" t="n">
        <v>552</v>
      </c>
      <c r="U39" s="16" t="n">
        <v>552</v>
      </c>
      <c r="V39" s="16" t="n">
        <v>390</v>
      </c>
      <c r="W39" s="16" t="n">
        <v>390</v>
      </c>
      <c r="X39" s="16" t="n">
        <v>168</v>
      </c>
      <c r="Y39" s="16" t="n">
        <v>168</v>
      </c>
      <c r="Z39" s="16" t="n">
        <v>240</v>
      </c>
      <c r="AA39" s="16" t="n">
        <v>240</v>
      </c>
      <c r="AB39" s="16" t="n">
        <v>264</v>
      </c>
      <c r="AC39" s="16" t="n">
        <v>264</v>
      </c>
      <c r="AD39" s="16" t="n">
        <v>315</v>
      </c>
      <c r="AE39" s="16" t="n">
        <v>315</v>
      </c>
      <c r="AF39" s="16" t="n">
        <v>216</v>
      </c>
      <c r="AG39" s="16" t="n">
        <v>216</v>
      </c>
      <c r="AH39" s="16" t="n">
        <v>280</v>
      </c>
      <c r="AI39" s="16" t="n">
        <v>280</v>
      </c>
      <c r="AJ39" s="16" t="n">
        <v>1140</v>
      </c>
      <c r="AK39" s="16" t="n">
        <v>1140</v>
      </c>
      <c r="AL39" s="16" t="n">
        <v>336</v>
      </c>
      <c r="AM39" s="16" t="n">
        <v>336</v>
      </c>
      <c r="AN39" s="16" t="n">
        <v>650</v>
      </c>
      <c r="AO39" s="16" t="n">
        <v>980</v>
      </c>
      <c r="AP39" s="16" t="n">
        <v>760</v>
      </c>
      <c r="AQ39" s="16" t="n">
        <v>41000</v>
      </c>
    </row>
    <row r="40" customFormat="false" ht="15" hidden="false" customHeight="false" outlineLevel="0" collapsed="false">
      <c r="A40" s="7" t="s">
        <v>129</v>
      </c>
      <c r="B40" s="14" t="n">
        <v>2</v>
      </c>
      <c r="C40" s="14" t="n">
        <v>2</v>
      </c>
      <c r="D40" s="14" t="n">
        <v>2</v>
      </c>
      <c r="E40" s="14" t="n">
        <v>2</v>
      </c>
      <c r="F40" s="14" t="n">
        <v>2</v>
      </c>
      <c r="G40" s="14" t="n">
        <v>2</v>
      </c>
      <c r="H40" s="14" t="n">
        <v>2</v>
      </c>
      <c r="I40" s="14" t="n">
        <v>2</v>
      </c>
      <c r="J40" s="14" t="n">
        <v>2</v>
      </c>
      <c r="K40" s="14" t="n">
        <v>2</v>
      </c>
      <c r="L40" s="14" t="n">
        <v>3</v>
      </c>
      <c r="M40" s="14" t="n">
        <v>3</v>
      </c>
      <c r="N40" s="14" t="n">
        <v>3</v>
      </c>
      <c r="O40" s="14" t="n">
        <v>3</v>
      </c>
      <c r="P40" s="14" t="n">
        <v>3</v>
      </c>
      <c r="Q40" s="14" t="n">
        <v>3</v>
      </c>
      <c r="R40" s="14" t="n">
        <v>3</v>
      </c>
      <c r="S40" s="14" t="n">
        <v>3</v>
      </c>
      <c r="T40" s="14" t="n">
        <v>4</v>
      </c>
      <c r="U40" s="14" t="n">
        <v>4</v>
      </c>
      <c r="V40" s="14" t="n">
        <v>3</v>
      </c>
      <c r="W40" s="14" t="n">
        <v>3</v>
      </c>
      <c r="X40" s="14" t="n">
        <v>3</v>
      </c>
      <c r="Y40" s="14" t="n">
        <v>3</v>
      </c>
      <c r="Z40" s="14" t="n">
        <v>3</v>
      </c>
      <c r="AA40" s="14" t="n">
        <v>3</v>
      </c>
      <c r="AB40" s="14" t="n">
        <v>2</v>
      </c>
      <c r="AC40" s="14" t="n">
        <v>2</v>
      </c>
      <c r="AD40" s="14" t="n">
        <v>4</v>
      </c>
      <c r="AE40" s="14" t="n">
        <v>4</v>
      </c>
      <c r="AF40" s="14" t="n">
        <v>3</v>
      </c>
      <c r="AG40" s="14" t="n">
        <v>3</v>
      </c>
      <c r="AH40" s="14" t="n">
        <v>3</v>
      </c>
      <c r="AI40" s="14" t="n">
        <v>3</v>
      </c>
      <c r="AJ40" s="14" t="n">
        <v>8</v>
      </c>
      <c r="AK40" s="14" t="n">
        <v>8</v>
      </c>
      <c r="AL40" s="14" t="n">
        <v>3</v>
      </c>
      <c r="AM40" s="14" t="n">
        <v>3</v>
      </c>
      <c r="AN40" s="14" t="n">
        <v>10</v>
      </c>
      <c r="AO40" s="14" t="n">
        <v>3</v>
      </c>
      <c r="AP40" s="14" t="n">
        <v>3</v>
      </c>
      <c r="AQ40" s="14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7" min="2" style="0" width="11"/>
  </cols>
  <sheetData>
    <row r="1" customFormat="false" ht="30" hidden="false" customHeight="true" outlineLevel="0" collapsed="false">
      <c r="A1" s="1" t="s">
        <v>130</v>
      </c>
    </row>
    <row r="2" customFormat="false" ht="15" hidden="false" customHeight="false" outlineLevel="0" collapsed="false">
      <c r="A2" s="2" t="s">
        <v>131</v>
      </c>
    </row>
    <row r="4" customFormat="false" ht="15" hidden="false" customHeight="false" outlineLevel="0" collapsed="false">
      <c r="A4" s="7" t="s">
        <v>132</v>
      </c>
      <c r="B4" s="10"/>
    </row>
    <row r="5" customFormat="false" ht="15" hidden="false" customHeight="false" outlineLevel="0" collapsed="false">
      <c r="A5" s="7" t="s">
        <v>133</v>
      </c>
      <c r="B5" s="11"/>
      <c r="C5" s="11"/>
      <c r="D5" s="11"/>
      <c r="E5" s="11"/>
      <c r="F5" s="11"/>
      <c r="G5" s="11"/>
    </row>
    <row r="6" customFormat="false" ht="15" hidden="false" customHeight="false" outlineLevel="0" collapsed="false">
      <c r="A6" s="6" t="s">
        <v>49</v>
      </c>
      <c r="B6" s="6" t="s">
        <v>134</v>
      </c>
      <c r="C6" s="6" t="s">
        <v>135</v>
      </c>
      <c r="D6" s="6" t="s">
        <v>136</v>
      </c>
      <c r="E6" s="6" t="s">
        <v>137</v>
      </c>
      <c r="F6" s="6" t="s">
        <v>138</v>
      </c>
      <c r="G6" s="6" t="s">
        <v>139</v>
      </c>
    </row>
    <row r="7" customFormat="false" ht="15" hidden="false" customHeight="false" outlineLevel="0" collapsed="false">
      <c r="A7" s="14" t="s">
        <v>92</v>
      </c>
      <c r="B7" s="16" t="str">
        <f aca="false">IF(B$5="","",INDEX(Data!$B$2:$AQ$2,MATCH(B$5,Data!$B$1:$AQ$1,0)))</f>
        <v/>
      </c>
      <c r="C7" s="16" t="str">
        <f aca="false">IF(C$5="","",INDEX(Data!$B$2:$AQ$2,MATCH(C$5,Data!$B$1:$AQ$1,0)))</f>
        <v/>
      </c>
      <c r="D7" s="16" t="str">
        <f aca="false">IF(D$5="","",INDEX(Data!$B$2:$AQ$2,MATCH(D$5,Data!$B$1:$AQ$1,0)))</f>
        <v/>
      </c>
      <c r="E7" s="16" t="str">
        <f aca="false">IF(E$5="","",INDEX(Data!$B$2:$AQ$2,MATCH(E$5,Data!$B$1:$AQ$1,0)))</f>
        <v/>
      </c>
      <c r="F7" s="16" t="str">
        <f aca="false">IF(F$5="","",INDEX(Data!$B$2:$AQ$2,MATCH(F$5,Data!$B$1:$AQ$1,0)))</f>
        <v/>
      </c>
      <c r="G7" s="16" t="str">
        <f aca="false">IF(G$5="","",INDEX(Data!$B$2:$AQ$2,MATCH(G$5,Data!$B$1:$AQ$1,0)))</f>
        <v/>
      </c>
    </row>
    <row r="8" customFormat="false" ht="15" hidden="false" customHeight="false" outlineLevel="0" collapsed="false">
      <c r="A8" s="14" t="s">
        <v>93</v>
      </c>
      <c r="B8" s="16" t="str">
        <f aca="false">IF(B$5="","",INDEX(Data!$B$3:$AQ$3,MATCH(B$5,Data!$B$1:$AQ$1,0)))</f>
        <v/>
      </c>
      <c r="C8" s="16" t="str">
        <f aca="false">IF(C$5="","",INDEX(Data!$B$3:$AQ$3,MATCH(C$5,Data!$B$1:$AQ$1,0)))</f>
        <v/>
      </c>
      <c r="D8" s="16" t="str">
        <f aca="false">IF(D$5="","",INDEX(Data!$B$3:$AQ$3,MATCH(D$5,Data!$B$1:$AQ$1,0)))</f>
        <v/>
      </c>
      <c r="E8" s="16" t="str">
        <f aca="false">IF(E$5="","",INDEX(Data!$B$3:$AQ$3,MATCH(E$5,Data!$B$1:$AQ$1,0)))</f>
        <v/>
      </c>
      <c r="F8" s="16" t="str">
        <f aca="false">IF(F$5="","",INDEX(Data!$B$3:$AQ$3,MATCH(F$5,Data!$B$1:$AQ$1,0)))</f>
        <v/>
      </c>
      <c r="G8" s="16" t="str">
        <f aca="false">IF(G$5="","",INDEX(Data!$B$3:$AQ$3,MATCH(G$5,Data!$B$1:$AQ$1,0)))</f>
        <v/>
      </c>
    </row>
    <row r="9" customFormat="false" ht="15" hidden="false" customHeight="false" outlineLevel="0" collapsed="false">
      <c r="A9" s="14" t="s">
        <v>94</v>
      </c>
      <c r="B9" s="16" t="str">
        <f aca="false">IF(B$5="","",INDEX(Data!$B$4:$AQ$4,MATCH(B$5,Data!$B$1:$AQ$1,0)))</f>
        <v/>
      </c>
      <c r="C9" s="16" t="str">
        <f aca="false">IF(C$5="","",INDEX(Data!$B$4:$AQ$4,MATCH(C$5,Data!$B$1:$AQ$1,0)))</f>
        <v/>
      </c>
      <c r="D9" s="16" t="str">
        <f aca="false">IF(D$5="","",INDEX(Data!$B$4:$AQ$4,MATCH(D$5,Data!$B$1:$AQ$1,0)))</f>
        <v/>
      </c>
      <c r="E9" s="16" t="str">
        <f aca="false">IF(E$5="","",INDEX(Data!$B$4:$AQ$4,MATCH(E$5,Data!$B$1:$AQ$1,0)))</f>
        <v/>
      </c>
      <c r="F9" s="16" t="str">
        <f aca="false">IF(F$5="","",INDEX(Data!$B$4:$AQ$4,MATCH(F$5,Data!$B$1:$AQ$1,0)))</f>
        <v/>
      </c>
      <c r="G9" s="16" t="str">
        <f aca="false">IF(G$5="","",INDEX(Data!$B$4:$AQ$4,MATCH(G$5,Data!$B$1:$AQ$1,0)))</f>
        <v/>
      </c>
    </row>
    <row r="10" customFormat="false" ht="15" hidden="false" customHeight="false" outlineLevel="0" collapsed="false">
      <c r="A10" s="14" t="s">
        <v>95</v>
      </c>
      <c r="B10" s="16" t="str">
        <f aca="false">IF(B$5="","",INDEX(Data!$B$5:$AQ$5,MATCH(B$5,Data!$B$1:$AQ$1,0)))</f>
        <v/>
      </c>
      <c r="C10" s="16" t="str">
        <f aca="false">IF(C$5="","",INDEX(Data!$B$5:$AQ$5,MATCH(C$5,Data!$B$1:$AQ$1,0)))</f>
        <v/>
      </c>
      <c r="D10" s="16" t="str">
        <f aca="false">IF(D$5="","",INDEX(Data!$B$5:$AQ$5,MATCH(D$5,Data!$B$1:$AQ$1,0)))</f>
        <v/>
      </c>
      <c r="E10" s="16" t="str">
        <f aca="false">IF(E$5="","",INDEX(Data!$B$5:$AQ$5,MATCH(E$5,Data!$B$1:$AQ$1,0)))</f>
        <v/>
      </c>
      <c r="F10" s="16" t="str">
        <f aca="false">IF(F$5="","",INDEX(Data!$B$5:$AQ$5,MATCH(F$5,Data!$B$1:$AQ$1,0)))</f>
        <v/>
      </c>
      <c r="G10" s="16" t="str">
        <f aca="false">IF(G$5="","",INDEX(Data!$B$5:$AQ$5,MATCH(G$5,Data!$B$1:$AQ$1,0)))</f>
        <v/>
      </c>
    </row>
    <row r="11" customFormat="false" ht="15" hidden="false" customHeight="false" outlineLevel="0" collapsed="false">
      <c r="A11" s="14" t="s">
        <v>96</v>
      </c>
      <c r="B11" s="16" t="str">
        <f aca="false">IF(B$5="","",INDEX(Data!$B$6:$AQ$6,MATCH(B$5,Data!$B$1:$AQ$1,0)))</f>
        <v/>
      </c>
      <c r="C11" s="16" t="str">
        <f aca="false">IF(C$5="","",INDEX(Data!$B$6:$AQ$6,MATCH(C$5,Data!$B$1:$AQ$1,0)))</f>
        <v/>
      </c>
      <c r="D11" s="16" t="str">
        <f aca="false">IF(D$5="","",INDEX(Data!$B$6:$AQ$6,MATCH(D$5,Data!$B$1:$AQ$1,0)))</f>
        <v/>
      </c>
      <c r="E11" s="16" t="str">
        <f aca="false">IF(E$5="","",INDEX(Data!$B$6:$AQ$6,MATCH(E$5,Data!$B$1:$AQ$1,0)))</f>
        <v/>
      </c>
      <c r="F11" s="16" t="str">
        <f aca="false">IF(F$5="","",INDEX(Data!$B$6:$AQ$6,MATCH(F$5,Data!$B$1:$AQ$1,0)))</f>
        <v/>
      </c>
      <c r="G11" s="16" t="str">
        <f aca="false">IF(G$5="","",INDEX(Data!$B$6:$AQ$6,MATCH(G$5,Data!$B$1:$AQ$1,0)))</f>
        <v/>
      </c>
    </row>
    <row r="12" customFormat="false" ht="15" hidden="false" customHeight="false" outlineLevel="0" collapsed="false">
      <c r="A12" s="14" t="s">
        <v>97</v>
      </c>
      <c r="B12" s="16" t="str">
        <f aca="false">IF(B$5="","",INDEX(Data!$B$7:$AQ$7,MATCH(B$5,Data!$B$1:$AQ$1,0)))</f>
        <v/>
      </c>
      <c r="C12" s="16" t="str">
        <f aca="false">IF(C$5="","",INDEX(Data!$B$7:$AQ$7,MATCH(C$5,Data!$B$1:$AQ$1,0)))</f>
        <v/>
      </c>
      <c r="D12" s="16" t="str">
        <f aca="false">IF(D$5="","",INDEX(Data!$B$7:$AQ$7,MATCH(D$5,Data!$B$1:$AQ$1,0)))</f>
        <v/>
      </c>
      <c r="E12" s="16" t="str">
        <f aca="false">IF(E$5="","",INDEX(Data!$B$7:$AQ$7,MATCH(E$5,Data!$B$1:$AQ$1,0)))</f>
        <v/>
      </c>
      <c r="F12" s="16" t="str">
        <f aca="false">IF(F$5="","",INDEX(Data!$B$7:$AQ$7,MATCH(F$5,Data!$B$1:$AQ$1,0)))</f>
        <v/>
      </c>
      <c r="G12" s="16" t="str">
        <f aca="false">IF(G$5="","",INDEX(Data!$B$7:$AQ$7,MATCH(G$5,Data!$B$1:$AQ$1,0)))</f>
        <v/>
      </c>
    </row>
    <row r="13" customFormat="false" ht="15" hidden="false" customHeight="false" outlineLevel="0" collapsed="false">
      <c r="A13" s="14" t="s">
        <v>98</v>
      </c>
      <c r="B13" s="16" t="str">
        <f aca="false">IF(B$5="","",INDEX(Data!$B$8:$AQ$8,MATCH(B$5,Data!$B$1:$AQ$1,0)))</f>
        <v/>
      </c>
      <c r="C13" s="16" t="str">
        <f aca="false">IF(C$5="","",INDEX(Data!$B$8:$AQ$8,MATCH(C$5,Data!$B$1:$AQ$1,0)))</f>
        <v/>
      </c>
      <c r="D13" s="16" t="str">
        <f aca="false">IF(D$5="","",INDEX(Data!$B$8:$AQ$8,MATCH(D$5,Data!$B$1:$AQ$1,0)))</f>
        <v/>
      </c>
      <c r="E13" s="16" t="str">
        <f aca="false">IF(E$5="","",INDEX(Data!$B$8:$AQ$8,MATCH(E$5,Data!$B$1:$AQ$1,0)))</f>
        <v/>
      </c>
      <c r="F13" s="16" t="str">
        <f aca="false">IF(F$5="","",INDEX(Data!$B$8:$AQ$8,MATCH(F$5,Data!$B$1:$AQ$1,0)))</f>
        <v/>
      </c>
      <c r="G13" s="16" t="str">
        <f aca="false">IF(G$5="","",INDEX(Data!$B$8:$AQ$8,MATCH(G$5,Data!$B$1:$AQ$1,0)))</f>
        <v/>
      </c>
    </row>
    <row r="14" customFormat="false" ht="15" hidden="false" customHeight="false" outlineLevel="0" collapsed="false">
      <c r="A14" s="14" t="s">
        <v>99</v>
      </c>
      <c r="B14" s="16" t="str">
        <f aca="false">IF(B$5="","",INDEX(Data!$B$9:$AQ$9,MATCH(B$5,Data!$B$1:$AQ$1,0)))</f>
        <v/>
      </c>
      <c r="C14" s="16" t="str">
        <f aca="false">IF(C$5="","",INDEX(Data!$B$9:$AQ$9,MATCH(C$5,Data!$B$1:$AQ$1,0)))</f>
        <v/>
      </c>
      <c r="D14" s="16" t="str">
        <f aca="false">IF(D$5="","",INDEX(Data!$B$9:$AQ$9,MATCH(D$5,Data!$B$1:$AQ$1,0)))</f>
        <v/>
      </c>
      <c r="E14" s="16" t="str">
        <f aca="false">IF(E$5="","",INDEX(Data!$B$9:$AQ$9,MATCH(E$5,Data!$B$1:$AQ$1,0)))</f>
        <v/>
      </c>
      <c r="F14" s="16" t="str">
        <f aca="false">IF(F$5="","",INDEX(Data!$B$9:$AQ$9,MATCH(F$5,Data!$B$1:$AQ$1,0)))</f>
        <v/>
      </c>
      <c r="G14" s="16" t="str">
        <f aca="false">IF(G$5="","",INDEX(Data!$B$9:$AQ$9,MATCH(G$5,Data!$B$1:$AQ$1,0)))</f>
        <v/>
      </c>
    </row>
    <row r="15" customFormat="false" ht="15" hidden="false" customHeight="false" outlineLevel="0" collapsed="false">
      <c r="A15" s="14" t="s">
        <v>100</v>
      </c>
      <c r="B15" s="16" t="str">
        <f aca="false">IF(B$5="","",INDEX(Data!$B$10:$AQ$10,MATCH(B$5,Data!$B$1:$AQ$1,0)))</f>
        <v/>
      </c>
      <c r="C15" s="16" t="str">
        <f aca="false">IF(C$5="","",INDEX(Data!$B$10:$AQ$10,MATCH(C$5,Data!$B$1:$AQ$1,0)))</f>
        <v/>
      </c>
      <c r="D15" s="16" t="str">
        <f aca="false">IF(D$5="","",INDEX(Data!$B$10:$AQ$10,MATCH(D$5,Data!$B$1:$AQ$1,0)))</f>
        <v/>
      </c>
      <c r="E15" s="16" t="str">
        <f aca="false">IF(E$5="","",INDEX(Data!$B$10:$AQ$10,MATCH(E$5,Data!$B$1:$AQ$1,0)))</f>
        <v/>
      </c>
      <c r="F15" s="16" t="str">
        <f aca="false">IF(F$5="","",INDEX(Data!$B$10:$AQ$10,MATCH(F$5,Data!$B$1:$AQ$1,0)))</f>
        <v/>
      </c>
      <c r="G15" s="16" t="str">
        <f aca="false">IF(G$5="","",INDEX(Data!$B$10:$AQ$10,MATCH(G$5,Data!$B$1:$AQ$1,0)))</f>
        <v/>
      </c>
    </row>
    <row r="16" customFormat="false" ht="15" hidden="false" customHeight="false" outlineLevel="0" collapsed="false">
      <c r="A16" s="14" t="s">
        <v>101</v>
      </c>
      <c r="B16" s="16" t="str">
        <f aca="false">IF(B$5="","",INDEX(Data!$B$11:$AQ$11,MATCH(B$5,Data!$B$1:$AQ$1,0)))</f>
        <v/>
      </c>
      <c r="C16" s="16" t="str">
        <f aca="false">IF(C$5="","",INDEX(Data!$B$11:$AQ$11,MATCH(C$5,Data!$B$1:$AQ$1,0)))</f>
        <v/>
      </c>
      <c r="D16" s="16" t="str">
        <f aca="false">IF(D$5="","",INDEX(Data!$B$11:$AQ$11,MATCH(D$5,Data!$B$1:$AQ$1,0)))</f>
        <v/>
      </c>
      <c r="E16" s="16" t="str">
        <f aca="false">IF(E$5="","",INDEX(Data!$B$11:$AQ$11,MATCH(E$5,Data!$B$1:$AQ$1,0)))</f>
        <v/>
      </c>
      <c r="F16" s="16" t="str">
        <f aca="false">IF(F$5="","",INDEX(Data!$B$11:$AQ$11,MATCH(F$5,Data!$B$1:$AQ$1,0)))</f>
        <v/>
      </c>
      <c r="G16" s="16" t="str">
        <f aca="false">IF(G$5="","",INDEX(Data!$B$11:$AQ$11,MATCH(G$5,Data!$B$1:$AQ$1,0)))</f>
        <v/>
      </c>
    </row>
    <row r="17" customFormat="false" ht="15" hidden="false" customHeight="false" outlineLevel="0" collapsed="false">
      <c r="A17" s="14" t="s">
        <v>102</v>
      </c>
      <c r="B17" s="16" t="str">
        <f aca="false">IF(B$5="","",INDEX(Data!$B$12:$AQ$12,MATCH(B$5,Data!$B$1:$AQ$1,0)))</f>
        <v/>
      </c>
      <c r="C17" s="16" t="str">
        <f aca="false">IF(C$5="","",INDEX(Data!$B$12:$AQ$12,MATCH(C$5,Data!$B$1:$AQ$1,0)))</f>
        <v/>
      </c>
      <c r="D17" s="16" t="str">
        <f aca="false">IF(D$5="","",INDEX(Data!$B$12:$AQ$12,MATCH(D$5,Data!$B$1:$AQ$1,0)))</f>
        <v/>
      </c>
      <c r="E17" s="16" t="str">
        <f aca="false">IF(E$5="","",INDEX(Data!$B$12:$AQ$12,MATCH(E$5,Data!$B$1:$AQ$1,0)))</f>
        <v/>
      </c>
      <c r="F17" s="16" t="str">
        <f aca="false">IF(F$5="","",INDEX(Data!$B$12:$AQ$12,MATCH(F$5,Data!$B$1:$AQ$1,0)))</f>
        <v/>
      </c>
      <c r="G17" s="16" t="str">
        <f aca="false">IF(G$5="","",INDEX(Data!$B$12:$AQ$12,MATCH(G$5,Data!$B$1:$AQ$1,0)))</f>
        <v/>
      </c>
    </row>
    <row r="18" customFormat="false" ht="15" hidden="false" customHeight="false" outlineLevel="0" collapsed="false">
      <c r="A18" s="14" t="s">
        <v>103</v>
      </c>
      <c r="B18" s="16" t="str">
        <f aca="false">IF(B$5="","",INDEX(Data!$B$13:$AQ$13,MATCH(B$5,Data!$B$1:$AQ$1,0)))</f>
        <v/>
      </c>
      <c r="C18" s="16" t="str">
        <f aca="false">IF(C$5="","",INDEX(Data!$B$13:$AQ$13,MATCH(C$5,Data!$B$1:$AQ$1,0)))</f>
        <v/>
      </c>
      <c r="D18" s="16" t="str">
        <f aca="false">IF(D$5="","",INDEX(Data!$B$13:$AQ$13,MATCH(D$5,Data!$B$1:$AQ$1,0)))</f>
        <v/>
      </c>
      <c r="E18" s="16" t="str">
        <f aca="false">IF(E$5="","",INDEX(Data!$B$13:$AQ$13,MATCH(E$5,Data!$B$1:$AQ$1,0)))</f>
        <v/>
      </c>
      <c r="F18" s="16" t="str">
        <f aca="false">IF(F$5="","",INDEX(Data!$B$13:$AQ$13,MATCH(F$5,Data!$B$1:$AQ$1,0)))</f>
        <v/>
      </c>
      <c r="G18" s="16" t="str">
        <f aca="false">IF(G$5="","",INDEX(Data!$B$13:$AQ$13,MATCH(G$5,Data!$B$1:$AQ$1,0)))</f>
        <v/>
      </c>
    </row>
    <row r="19" customFormat="false" ht="15" hidden="false" customHeight="false" outlineLevel="0" collapsed="false">
      <c r="A19" s="14" t="s">
        <v>104</v>
      </c>
      <c r="B19" s="16" t="str">
        <f aca="false">IF(B$5="","",INDEX(Data!$B$14:$AQ$14,MATCH(B$5,Data!$B$1:$AQ$1,0)))</f>
        <v/>
      </c>
      <c r="C19" s="16" t="str">
        <f aca="false">IF(C$5="","",INDEX(Data!$B$14:$AQ$14,MATCH(C$5,Data!$B$1:$AQ$1,0)))</f>
        <v/>
      </c>
      <c r="D19" s="16" t="str">
        <f aca="false">IF(D$5="","",INDEX(Data!$B$14:$AQ$14,MATCH(D$5,Data!$B$1:$AQ$1,0)))</f>
        <v/>
      </c>
      <c r="E19" s="16" t="str">
        <f aca="false">IF(E$5="","",INDEX(Data!$B$14:$AQ$14,MATCH(E$5,Data!$B$1:$AQ$1,0)))</f>
        <v/>
      </c>
      <c r="F19" s="16" t="str">
        <f aca="false">IF(F$5="","",INDEX(Data!$B$14:$AQ$14,MATCH(F$5,Data!$B$1:$AQ$1,0)))</f>
        <v/>
      </c>
      <c r="G19" s="16" t="str">
        <f aca="false">IF(G$5="","",INDEX(Data!$B$14:$AQ$14,MATCH(G$5,Data!$B$1:$AQ$1,0)))</f>
        <v/>
      </c>
    </row>
    <row r="20" customFormat="false" ht="15" hidden="false" customHeight="false" outlineLevel="0" collapsed="false">
      <c r="A20" s="14" t="s">
        <v>105</v>
      </c>
      <c r="B20" s="16" t="str">
        <f aca="false">IF(B$5="","",INDEX(Data!$B$15:$AQ$15,MATCH(B$5,Data!$B$1:$AQ$1,0)))</f>
        <v/>
      </c>
      <c r="C20" s="16" t="str">
        <f aca="false">IF(C$5="","",INDEX(Data!$B$15:$AQ$15,MATCH(C$5,Data!$B$1:$AQ$1,0)))</f>
        <v/>
      </c>
      <c r="D20" s="16" t="str">
        <f aca="false">IF(D$5="","",INDEX(Data!$B$15:$AQ$15,MATCH(D$5,Data!$B$1:$AQ$1,0)))</f>
        <v/>
      </c>
      <c r="E20" s="16" t="str">
        <f aca="false">IF(E$5="","",INDEX(Data!$B$15:$AQ$15,MATCH(E$5,Data!$B$1:$AQ$1,0)))</f>
        <v/>
      </c>
      <c r="F20" s="16" t="str">
        <f aca="false">IF(F$5="","",INDEX(Data!$B$15:$AQ$15,MATCH(F$5,Data!$B$1:$AQ$1,0)))</f>
        <v/>
      </c>
      <c r="G20" s="16" t="str">
        <f aca="false">IF(G$5="","",INDEX(Data!$B$15:$AQ$15,MATCH(G$5,Data!$B$1:$AQ$1,0)))</f>
        <v/>
      </c>
    </row>
    <row r="21" customFormat="false" ht="15" hidden="false" customHeight="false" outlineLevel="0" collapsed="false">
      <c r="A21" s="14" t="s">
        <v>106</v>
      </c>
      <c r="B21" s="16" t="str">
        <f aca="false">IF(B$5="","",INDEX(Data!$B$16:$AQ$16,MATCH(B$5,Data!$B$1:$AQ$1,0)))</f>
        <v/>
      </c>
      <c r="C21" s="16" t="str">
        <f aca="false">IF(C$5="","",INDEX(Data!$B$16:$AQ$16,MATCH(C$5,Data!$B$1:$AQ$1,0)))</f>
        <v/>
      </c>
      <c r="D21" s="16" t="str">
        <f aca="false">IF(D$5="","",INDEX(Data!$B$16:$AQ$16,MATCH(D$5,Data!$B$1:$AQ$1,0)))</f>
        <v/>
      </c>
      <c r="E21" s="16" t="str">
        <f aca="false">IF(E$5="","",INDEX(Data!$B$16:$AQ$16,MATCH(E$5,Data!$B$1:$AQ$1,0)))</f>
        <v/>
      </c>
      <c r="F21" s="16" t="str">
        <f aca="false">IF(F$5="","",INDEX(Data!$B$16:$AQ$16,MATCH(F$5,Data!$B$1:$AQ$1,0)))</f>
        <v/>
      </c>
      <c r="G21" s="16" t="str">
        <f aca="false">IF(G$5="","",INDEX(Data!$B$16:$AQ$16,MATCH(G$5,Data!$B$1:$AQ$1,0)))</f>
        <v/>
      </c>
    </row>
    <row r="22" customFormat="false" ht="15" hidden="false" customHeight="false" outlineLevel="0" collapsed="false">
      <c r="A22" s="14" t="s">
        <v>107</v>
      </c>
      <c r="B22" s="16" t="str">
        <f aca="false">IF(B$5="","",INDEX(Data!$B$17:$AQ$17,MATCH(B$5,Data!$B$1:$AQ$1,0)))</f>
        <v/>
      </c>
      <c r="C22" s="16" t="str">
        <f aca="false">IF(C$5="","",INDEX(Data!$B$17:$AQ$17,MATCH(C$5,Data!$B$1:$AQ$1,0)))</f>
        <v/>
      </c>
      <c r="D22" s="16" t="str">
        <f aca="false">IF(D$5="","",INDEX(Data!$B$17:$AQ$17,MATCH(D$5,Data!$B$1:$AQ$1,0)))</f>
        <v/>
      </c>
      <c r="E22" s="16" t="str">
        <f aca="false">IF(E$5="","",INDEX(Data!$B$17:$AQ$17,MATCH(E$5,Data!$B$1:$AQ$1,0)))</f>
        <v/>
      </c>
      <c r="F22" s="16" t="str">
        <f aca="false">IF(F$5="","",INDEX(Data!$B$17:$AQ$17,MATCH(F$5,Data!$B$1:$AQ$1,0)))</f>
        <v/>
      </c>
      <c r="G22" s="16" t="str">
        <f aca="false">IF(G$5="","",INDEX(Data!$B$17:$AQ$17,MATCH(G$5,Data!$B$1:$AQ$1,0)))</f>
        <v/>
      </c>
    </row>
    <row r="23" customFormat="false" ht="15" hidden="false" customHeight="false" outlineLevel="0" collapsed="false">
      <c r="A23" s="14" t="s">
        <v>108</v>
      </c>
      <c r="B23" s="16" t="str">
        <f aca="false">IF(B$5="","",INDEX(Data!$B$18:$AQ$18,MATCH(B$5,Data!$B$1:$AQ$1,0)))</f>
        <v/>
      </c>
      <c r="C23" s="16" t="str">
        <f aca="false">IF(C$5="","",INDEX(Data!$B$18:$AQ$18,MATCH(C$5,Data!$B$1:$AQ$1,0)))</f>
        <v/>
      </c>
      <c r="D23" s="16" t="str">
        <f aca="false">IF(D$5="","",INDEX(Data!$B$18:$AQ$18,MATCH(D$5,Data!$B$1:$AQ$1,0)))</f>
        <v/>
      </c>
      <c r="E23" s="16" t="str">
        <f aca="false">IF(E$5="","",INDEX(Data!$B$18:$AQ$18,MATCH(E$5,Data!$B$1:$AQ$1,0)))</f>
        <v/>
      </c>
      <c r="F23" s="16" t="str">
        <f aca="false">IF(F$5="","",INDEX(Data!$B$18:$AQ$18,MATCH(F$5,Data!$B$1:$AQ$1,0)))</f>
        <v/>
      </c>
      <c r="G23" s="16" t="str">
        <f aca="false">IF(G$5="","",INDEX(Data!$B$18:$AQ$18,MATCH(G$5,Data!$B$1:$AQ$1,0)))</f>
        <v/>
      </c>
    </row>
    <row r="24" customFormat="false" ht="15" hidden="false" customHeight="false" outlineLevel="0" collapsed="false">
      <c r="A24" s="14" t="s">
        <v>109</v>
      </c>
      <c r="B24" s="16" t="str">
        <f aca="false">IF(B$5="","",INDEX(Data!$B$19:$AQ$19,MATCH(B$5,Data!$B$1:$AQ$1,0)))</f>
        <v/>
      </c>
      <c r="C24" s="16" t="str">
        <f aca="false">IF(C$5="","",INDEX(Data!$B$19:$AQ$19,MATCH(C$5,Data!$B$1:$AQ$1,0)))</f>
        <v/>
      </c>
      <c r="D24" s="16" t="str">
        <f aca="false">IF(D$5="","",INDEX(Data!$B$19:$AQ$19,MATCH(D$5,Data!$B$1:$AQ$1,0)))</f>
        <v/>
      </c>
      <c r="E24" s="16" t="str">
        <f aca="false">IF(E$5="","",INDEX(Data!$B$19:$AQ$19,MATCH(E$5,Data!$B$1:$AQ$1,0)))</f>
        <v/>
      </c>
      <c r="F24" s="16" t="str">
        <f aca="false">IF(F$5="","",INDEX(Data!$B$19:$AQ$19,MATCH(F$5,Data!$B$1:$AQ$1,0)))</f>
        <v/>
      </c>
      <c r="G24" s="16" t="str">
        <f aca="false">IF(G$5="","",INDEX(Data!$B$19:$AQ$19,MATCH(G$5,Data!$B$1:$AQ$1,0)))</f>
        <v/>
      </c>
    </row>
    <row r="25" customFormat="false" ht="15" hidden="false" customHeight="false" outlineLevel="0" collapsed="false">
      <c r="A25" s="14" t="s">
        <v>110</v>
      </c>
      <c r="B25" s="16" t="str">
        <f aca="false">IF(B$5="","",INDEX(Data!$B$20:$AQ$20,MATCH(B$5,Data!$B$1:$AQ$1,0)))</f>
        <v/>
      </c>
      <c r="C25" s="16" t="str">
        <f aca="false">IF(C$5="","",INDEX(Data!$B$20:$AQ$20,MATCH(C$5,Data!$B$1:$AQ$1,0)))</f>
        <v/>
      </c>
      <c r="D25" s="16" t="str">
        <f aca="false">IF(D$5="","",INDEX(Data!$B$20:$AQ$20,MATCH(D$5,Data!$B$1:$AQ$1,0)))</f>
        <v/>
      </c>
      <c r="E25" s="16" t="str">
        <f aca="false">IF(E$5="","",INDEX(Data!$B$20:$AQ$20,MATCH(E$5,Data!$B$1:$AQ$1,0)))</f>
        <v/>
      </c>
      <c r="F25" s="16" t="str">
        <f aca="false">IF(F$5="","",INDEX(Data!$B$20:$AQ$20,MATCH(F$5,Data!$B$1:$AQ$1,0)))</f>
        <v/>
      </c>
      <c r="G25" s="16" t="str">
        <f aca="false">IF(G$5="","",INDEX(Data!$B$20:$AQ$20,MATCH(G$5,Data!$B$1:$AQ$1,0)))</f>
        <v/>
      </c>
    </row>
    <row r="26" customFormat="false" ht="15" hidden="false" customHeight="false" outlineLevel="0" collapsed="false">
      <c r="A26" s="14" t="s">
        <v>111</v>
      </c>
      <c r="B26" s="16" t="str">
        <f aca="false">IF(B$5="","",INDEX(Data!$B$21:$AQ$21,MATCH(B$5,Data!$B$1:$AQ$1,0)))</f>
        <v/>
      </c>
      <c r="C26" s="16" t="str">
        <f aca="false">IF(C$5="","",INDEX(Data!$B$21:$AQ$21,MATCH(C$5,Data!$B$1:$AQ$1,0)))</f>
        <v/>
      </c>
      <c r="D26" s="16" t="str">
        <f aca="false">IF(D$5="","",INDEX(Data!$B$21:$AQ$21,MATCH(D$5,Data!$B$1:$AQ$1,0)))</f>
        <v/>
      </c>
      <c r="E26" s="16" t="str">
        <f aca="false">IF(E$5="","",INDEX(Data!$B$21:$AQ$21,MATCH(E$5,Data!$B$1:$AQ$1,0)))</f>
        <v/>
      </c>
      <c r="F26" s="16" t="str">
        <f aca="false">IF(F$5="","",INDEX(Data!$B$21:$AQ$21,MATCH(F$5,Data!$B$1:$AQ$1,0)))</f>
        <v/>
      </c>
      <c r="G26" s="16" t="str">
        <f aca="false">IF(G$5="","",INDEX(Data!$B$21:$AQ$21,MATCH(G$5,Data!$B$1:$AQ$1,0)))</f>
        <v/>
      </c>
    </row>
    <row r="27" customFormat="false" ht="15" hidden="false" customHeight="false" outlineLevel="0" collapsed="false">
      <c r="A27" s="14" t="s">
        <v>112</v>
      </c>
      <c r="B27" s="16" t="str">
        <f aca="false">IF(B$5="","",INDEX(Data!$B$22:$AQ$22,MATCH(B$5,Data!$B$1:$AQ$1,0)))</f>
        <v/>
      </c>
      <c r="C27" s="16" t="str">
        <f aca="false">IF(C$5="","",INDEX(Data!$B$22:$AQ$22,MATCH(C$5,Data!$B$1:$AQ$1,0)))</f>
        <v/>
      </c>
      <c r="D27" s="16" t="str">
        <f aca="false">IF(D$5="","",INDEX(Data!$B$22:$AQ$22,MATCH(D$5,Data!$B$1:$AQ$1,0)))</f>
        <v/>
      </c>
      <c r="E27" s="16" t="str">
        <f aca="false">IF(E$5="","",INDEX(Data!$B$22:$AQ$22,MATCH(E$5,Data!$B$1:$AQ$1,0)))</f>
        <v/>
      </c>
      <c r="F27" s="16" t="str">
        <f aca="false">IF(F$5="","",INDEX(Data!$B$22:$AQ$22,MATCH(F$5,Data!$B$1:$AQ$1,0)))</f>
        <v/>
      </c>
      <c r="G27" s="16" t="str">
        <f aca="false">IF(G$5="","",INDEX(Data!$B$22:$AQ$22,MATCH(G$5,Data!$B$1:$AQ$1,0)))</f>
        <v/>
      </c>
    </row>
    <row r="28" customFormat="false" ht="15" hidden="false" customHeight="false" outlineLevel="0" collapsed="false">
      <c r="A28" s="14" t="s">
        <v>113</v>
      </c>
      <c r="B28" s="16" t="str">
        <f aca="false">IF(B$5="","",INDEX(Data!$B$23:$AQ$23,MATCH(B$5,Data!$B$1:$AQ$1,0)))</f>
        <v/>
      </c>
      <c r="C28" s="16" t="str">
        <f aca="false">IF(C$5="","",INDEX(Data!$B$23:$AQ$23,MATCH(C$5,Data!$B$1:$AQ$1,0)))</f>
        <v/>
      </c>
      <c r="D28" s="16" t="str">
        <f aca="false">IF(D$5="","",INDEX(Data!$B$23:$AQ$23,MATCH(D$5,Data!$B$1:$AQ$1,0)))</f>
        <v/>
      </c>
      <c r="E28" s="16" t="str">
        <f aca="false">IF(E$5="","",INDEX(Data!$B$23:$AQ$23,MATCH(E$5,Data!$B$1:$AQ$1,0)))</f>
        <v/>
      </c>
      <c r="F28" s="16" t="str">
        <f aca="false">IF(F$5="","",INDEX(Data!$B$23:$AQ$23,MATCH(F$5,Data!$B$1:$AQ$1,0)))</f>
        <v/>
      </c>
      <c r="G28" s="16" t="str">
        <f aca="false">IF(G$5="","",INDEX(Data!$B$23:$AQ$23,MATCH(G$5,Data!$B$1:$AQ$1,0)))</f>
        <v/>
      </c>
    </row>
    <row r="29" customFormat="false" ht="15" hidden="false" customHeight="false" outlineLevel="0" collapsed="false">
      <c r="A29" s="14" t="s">
        <v>114</v>
      </c>
      <c r="B29" s="16" t="str">
        <f aca="false">IF(B$5="","",INDEX(Data!$B$24:$AQ$24,MATCH(B$5,Data!$B$1:$AQ$1,0)))</f>
        <v/>
      </c>
      <c r="C29" s="16" t="str">
        <f aca="false">IF(C$5="","",INDEX(Data!$B$24:$AQ$24,MATCH(C$5,Data!$B$1:$AQ$1,0)))</f>
        <v/>
      </c>
      <c r="D29" s="16" t="str">
        <f aca="false">IF(D$5="","",INDEX(Data!$B$24:$AQ$24,MATCH(D$5,Data!$B$1:$AQ$1,0)))</f>
        <v/>
      </c>
      <c r="E29" s="16" t="str">
        <f aca="false">IF(E$5="","",INDEX(Data!$B$24:$AQ$24,MATCH(E$5,Data!$B$1:$AQ$1,0)))</f>
        <v/>
      </c>
      <c r="F29" s="16" t="str">
        <f aca="false">IF(F$5="","",INDEX(Data!$B$24:$AQ$24,MATCH(F$5,Data!$B$1:$AQ$1,0)))</f>
        <v/>
      </c>
      <c r="G29" s="16" t="str">
        <f aca="false">IF(G$5="","",INDEX(Data!$B$24:$AQ$24,MATCH(G$5,Data!$B$1:$AQ$1,0)))</f>
        <v/>
      </c>
    </row>
    <row r="30" customFormat="false" ht="15" hidden="false" customHeight="false" outlineLevel="0" collapsed="false">
      <c r="A30" s="14" t="s">
        <v>115</v>
      </c>
      <c r="B30" s="16" t="str">
        <f aca="false">IF(B$5="","",INDEX(Data!$B$25:$AQ$25,MATCH(B$5,Data!$B$1:$AQ$1,0)))</f>
        <v/>
      </c>
      <c r="C30" s="16" t="str">
        <f aca="false">IF(C$5="","",INDEX(Data!$B$25:$AQ$25,MATCH(C$5,Data!$B$1:$AQ$1,0)))</f>
        <v/>
      </c>
      <c r="D30" s="16" t="str">
        <f aca="false">IF(D$5="","",INDEX(Data!$B$25:$AQ$25,MATCH(D$5,Data!$B$1:$AQ$1,0)))</f>
        <v/>
      </c>
      <c r="E30" s="16" t="str">
        <f aca="false">IF(E$5="","",INDEX(Data!$B$25:$AQ$25,MATCH(E$5,Data!$B$1:$AQ$1,0)))</f>
        <v/>
      </c>
      <c r="F30" s="16" t="str">
        <f aca="false">IF(F$5="","",INDEX(Data!$B$25:$AQ$25,MATCH(F$5,Data!$B$1:$AQ$1,0)))</f>
        <v/>
      </c>
      <c r="G30" s="16" t="str">
        <f aca="false">IF(G$5="","",INDEX(Data!$B$25:$AQ$25,MATCH(G$5,Data!$B$1:$AQ$1,0)))</f>
        <v/>
      </c>
    </row>
    <row r="31" customFormat="false" ht="15" hidden="false" customHeight="false" outlineLevel="0" collapsed="false">
      <c r="A31" s="14" t="s">
        <v>116</v>
      </c>
      <c r="B31" s="16" t="str">
        <f aca="false">IF(B$5="","",INDEX(Data!$B$26:$AQ$26,MATCH(B$5,Data!$B$1:$AQ$1,0)))</f>
        <v/>
      </c>
      <c r="C31" s="16" t="str">
        <f aca="false">IF(C$5="","",INDEX(Data!$B$26:$AQ$26,MATCH(C$5,Data!$B$1:$AQ$1,0)))</f>
        <v/>
      </c>
      <c r="D31" s="16" t="str">
        <f aca="false">IF(D$5="","",INDEX(Data!$B$26:$AQ$26,MATCH(D$5,Data!$B$1:$AQ$1,0)))</f>
        <v/>
      </c>
      <c r="E31" s="16" t="str">
        <f aca="false">IF(E$5="","",INDEX(Data!$B$26:$AQ$26,MATCH(E$5,Data!$B$1:$AQ$1,0)))</f>
        <v/>
      </c>
      <c r="F31" s="16" t="str">
        <f aca="false">IF(F$5="","",INDEX(Data!$B$26:$AQ$26,MATCH(F$5,Data!$B$1:$AQ$1,0)))</f>
        <v/>
      </c>
      <c r="G31" s="16" t="str">
        <f aca="false">IF(G$5="","",INDEX(Data!$B$26:$AQ$26,MATCH(G$5,Data!$B$1:$AQ$1,0)))</f>
        <v/>
      </c>
    </row>
    <row r="32" customFormat="false" ht="15" hidden="false" customHeight="false" outlineLevel="0" collapsed="false">
      <c r="A32" s="14" t="s">
        <v>117</v>
      </c>
      <c r="B32" s="16" t="str">
        <f aca="false">IF(B$5="","",INDEX(Data!$B$27:$AQ$27,MATCH(B$5,Data!$B$1:$AQ$1,0)))</f>
        <v/>
      </c>
      <c r="C32" s="16" t="str">
        <f aca="false">IF(C$5="","",INDEX(Data!$B$27:$AQ$27,MATCH(C$5,Data!$B$1:$AQ$1,0)))</f>
        <v/>
      </c>
      <c r="D32" s="16" t="str">
        <f aca="false">IF(D$5="","",INDEX(Data!$B$27:$AQ$27,MATCH(D$5,Data!$B$1:$AQ$1,0)))</f>
        <v/>
      </c>
      <c r="E32" s="16" t="str">
        <f aca="false">IF(E$5="","",INDEX(Data!$B$27:$AQ$27,MATCH(E$5,Data!$B$1:$AQ$1,0)))</f>
        <v/>
      </c>
      <c r="F32" s="16" t="str">
        <f aca="false">IF(F$5="","",INDEX(Data!$B$27:$AQ$27,MATCH(F$5,Data!$B$1:$AQ$1,0)))</f>
        <v/>
      </c>
      <c r="G32" s="16" t="str">
        <f aca="false">IF(G$5="","",INDEX(Data!$B$27:$AQ$27,MATCH(G$5,Data!$B$1:$AQ$1,0)))</f>
        <v/>
      </c>
    </row>
    <row r="33" customFormat="false" ht="15" hidden="false" customHeight="false" outlineLevel="0" collapsed="false">
      <c r="A33" s="14" t="s">
        <v>118</v>
      </c>
      <c r="B33" s="16" t="str">
        <f aca="false">IF(B$5="","",INDEX(Data!$B$28:$AQ$28,MATCH(B$5,Data!$B$1:$AQ$1,0)))</f>
        <v/>
      </c>
      <c r="C33" s="16" t="str">
        <f aca="false">IF(C$5="","",INDEX(Data!$B$28:$AQ$28,MATCH(C$5,Data!$B$1:$AQ$1,0)))</f>
        <v/>
      </c>
      <c r="D33" s="16" t="str">
        <f aca="false">IF(D$5="","",INDEX(Data!$B$28:$AQ$28,MATCH(D$5,Data!$B$1:$AQ$1,0)))</f>
        <v/>
      </c>
      <c r="E33" s="16" t="str">
        <f aca="false">IF(E$5="","",INDEX(Data!$B$28:$AQ$28,MATCH(E$5,Data!$B$1:$AQ$1,0)))</f>
        <v/>
      </c>
      <c r="F33" s="16" t="str">
        <f aca="false">IF(F$5="","",INDEX(Data!$B$28:$AQ$28,MATCH(F$5,Data!$B$1:$AQ$1,0)))</f>
        <v/>
      </c>
      <c r="G33" s="16" t="str">
        <f aca="false">IF(G$5="","",INDEX(Data!$B$28:$AQ$28,MATCH(G$5,Data!$B$1:$AQ$1,0)))</f>
        <v/>
      </c>
    </row>
    <row r="34" customFormat="false" ht="15" hidden="false" customHeight="false" outlineLevel="0" collapsed="false">
      <c r="A34" s="14" t="s">
        <v>119</v>
      </c>
      <c r="B34" s="16" t="str">
        <f aca="false">IF(B$5="","",INDEX(Data!$B$29:$AQ$29,MATCH(B$5,Data!$B$1:$AQ$1,0)))</f>
        <v/>
      </c>
      <c r="C34" s="16" t="str">
        <f aca="false">IF(C$5="","",INDEX(Data!$B$29:$AQ$29,MATCH(C$5,Data!$B$1:$AQ$1,0)))</f>
        <v/>
      </c>
      <c r="D34" s="16" t="str">
        <f aca="false">IF(D$5="","",INDEX(Data!$B$29:$AQ$29,MATCH(D$5,Data!$B$1:$AQ$1,0)))</f>
        <v/>
      </c>
      <c r="E34" s="16" t="str">
        <f aca="false">IF(E$5="","",INDEX(Data!$B$29:$AQ$29,MATCH(E$5,Data!$B$1:$AQ$1,0)))</f>
        <v/>
      </c>
      <c r="F34" s="16" t="str">
        <f aca="false">IF(F$5="","",INDEX(Data!$B$29:$AQ$29,MATCH(F$5,Data!$B$1:$AQ$1,0)))</f>
        <v/>
      </c>
      <c r="G34" s="16" t="str">
        <f aca="false">IF(G$5="","",INDEX(Data!$B$29:$AQ$29,MATCH(G$5,Data!$B$1:$AQ$1,0)))</f>
        <v/>
      </c>
    </row>
    <row r="35" customFormat="false" ht="15" hidden="false" customHeight="false" outlineLevel="0" collapsed="false">
      <c r="A35" s="14" t="s">
        <v>120</v>
      </c>
      <c r="B35" s="16" t="str">
        <f aca="false">IF(B$5="","",INDEX(Data!$B$30:$AQ$30,MATCH(B$5,Data!$B$1:$AQ$1,0)))</f>
        <v/>
      </c>
      <c r="C35" s="16" t="str">
        <f aca="false">IF(C$5="","",INDEX(Data!$B$30:$AQ$30,MATCH(C$5,Data!$B$1:$AQ$1,0)))</f>
        <v/>
      </c>
      <c r="D35" s="16" t="str">
        <f aca="false">IF(D$5="","",INDEX(Data!$B$30:$AQ$30,MATCH(D$5,Data!$B$1:$AQ$1,0)))</f>
        <v/>
      </c>
      <c r="E35" s="16" t="str">
        <f aca="false">IF(E$5="","",INDEX(Data!$B$30:$AQ$30,MATCH(E$5,Data!$B$1:$AQ$1,0)))</f>
        <v/>
      </c>
      <c r="F35" s="16" t="str">
        <f aca="false">IF(F$5="","",INDEX(Data!$B$30:$AQ$30,MATCH(F$5,Data!$B$1:$AQ$1,0)))</f>
        <v/>
      </c>
      <c r="G35" s="16" t="str">
        <f aca="false">IF(G$5="","",INDEX(Data!$B$30:$AQ$30,MATCH(G$5,Data!$B$1:$AQ$1,0)))</f>
        <v/>
      </c>
    </row>
    <row r="36" customFormat="false" ht="15" hidden="false" customHeight="false" outlineLevel="0" collapsed="false">
      <c r="A36" s="14" t="s">
        <v>121</v>
      </c>
      <c r="B36" s="16" t="str">
        <f aca="false">IF(B$5="","",INDEX(Data!$B$31:$AQ$31,MATCH(B$5,Data!$B$1:$AQ$1,0)))</f>
        <v/>
      </c>
      <c r="C36" s="16" t="str">
        <f aca="false">IF(C$5="","",INDEX(Data!$B$31:$AQ$31,MATCH(C$5,Data!$B$1:$AQ$1,0)))</f>
        <v/>
      </c>
      <c r="D36" s="16" t="str">
        <f aca="false">IF(D$5="","",INDEX(Data!$B$31:$AQ$31,MATCH(D$5,Data!$B$1:$AQ$1,0)))</f>
        <v/>
      </c>
      <c r="E36" s="16" t="str">
        <f aca="false">IF(E$5="","",INDEX(Data!$B$31:$AQ$31,MATCH(E$5,Data!$B$1:$AQ$1,0)))</f>
        <v/>
      </c>
      <c r="F36" s="16" t="str">
        <f aca="false">IF(F$5="","",INDEX(Data!$B$31:$AQ$31,MATCH(F$5,Data!$B$1:$AQ$1,0)))</f>
        <v/>
      </c>
      <c r="G36" s="16" t="str">
        <f aca="false">IF(G$5="","",INDEX(Data!$B$31:$AQ$31,MATCH(G$5,Data!$B$1:$AQ$1,0)))</f>
        <v/>
      </c>
    </row>
    <row r="37" customFormat="false" ht="15" hidden="false" customHeight="false" outlineLevel="0" collapsed="false">
      <c r="A37" s="14" t="s">
        <v>122</v>
      </c>
      <c r="B37" s="16" t="str">
        <f aca="false">IF(B$5="","",INDEX(Data!$B$32:$AQ$32,MATCH(B$5,Data!$B$1:$AQ$1,0)))</f>
        <v/>
      </c>
      <c r="C37" s="16" t="str">
        <f aca="false">IF(C$5="","",INDEX(Data!$B$32:$AQ$32,MATCH(C$5,Data!$B$1:$AQ$1,0)))</f>
        <v/>
      </c>
      <c r="D37" s="16" t="str">
        <f aca="false">IF(D$5="","",INDEX(Data!$B$32:$AQ$32,MATCH(D$5,Data!$B$1:$AQ$1,0)))</f>
        <v/>
      </c>
      <c r="E37" s="16" t="str">
        <f aca="false">IF(E$5="","",INDEX(Data!$B$32:$AQ$32,MATCH(E$5,Data!$B$1:$AQ$1,0)))</f>
        <v/>
      </c>
      <c r="F37" s="16" t="str">
        <f aca="false">IF(F$5="","",INDEX(Data!$B$32:$AQ$32,MATCH(F$5,Data!$B$1:$AQ$1,0)))</f>
        <v/>
      </c>
      <c r="G37" s="16" t="str">
        <f aca="false">IF(G$5="","",INDEX(Data!$B$32:$AQ$32,MATCH(G$5,Data!$B$1:$AQ$1,0)))</f>
        <v/>
      </c>
    </row>
    <row r="38" customFormat="false" ht="15" hidden="false" customHeight="false" outlineLevel="0" collapsed="false">
      <c r="A38" s="14" t="s">
        <v>123</v>
      </c>
      <c r="B38" s="16" t="str">
        <f aca="false">IF(B$5="","",INDEX(Data!$B$33:$AQ$33,MATCH(B$5,Data!$B$1:$AQ$1,0)))</f>
        <v/>
      </c>
      <c r="C38" s="16" t="str">
        <f aca="false">IF(C$5="","",INDEX(Data!$B$33:$AQ$33,MATCH(C$5,Data!$B$1:$AQ$1,0)))</f>
        <v/>
      </c>
      <c r="D38" s="16" t="str">
        <f aca="false">IF(D$5="","",INDEX(Data!$B$33:$AQ$33,MATCH(D$5,Data!$B$1:$AQ$1,0)))</f>
        <v/>
      </c>
      <c r="E38" s="16" t="str">
        <f aca="false">IF(E$5="","",INDEX(Data!$B$33:$AQ$33,MATCH(E$5,Data!$B$1:$AQ$1,0)))</f>
        <v/>
      </c>
      <c r="F38" s="16" t="str">
        <f aca="false">IF(F$5="","",INDEX(Data!$B$33:$AQ$33,MATCH(F$5,Data!$B$1:$AQ$1,0)))</f>
        <v/>
      </c>
      <c r="G38" s="16" t="str">
        <f aca="false">IF(G$5="","",INDEX(Data!$B$33:$AQ$33,MATCH(G$5,Data!$B$1:$AQ$1,0)))</f>
        <v/>
      </c>
    </row>
    <row r="39" customFormat="false" ht="15" hidden="false" customHeight="false" outlineLevel="0" collapsed="false">
      <c r="A39" s="14" t="s">
        <v>124</v>
      </c>
      <c r="B39" s="16" t="str">
        <f aca="false">IF(B$5="","",INDEX(Data!$B$34:$AQ$34,MATCH(B$5,Data!$B$1:$AQ$1,0)))</f>
        <v/>
      </c>
      <c r="C39" s="16" t="str">
        <f aca="false">IF(C$5="","",INDEX(Data!$B$34:$AQ$34,MATCH(C$5,Data!$B$1:$AQ$1,0)))</f>
        <v/>
      </c>
      <c r="D39" s="16" t="str">
        <f aca="false">IF(D$5="","",INDEX(Data!$B$34:$AQ$34,MATCH(D$5,Data!$B$1:$AQ$1,0)))</f>
        <v/>
      </c>
      <c r="E39" s="16" t="str">
        <f aca="false">IF(E$5="","",INDEX(Data!$B$34:$AQ$34,MATCH(E$5,Data!$B$1:$AQ$1,0)))</f>
        <v/>
      </c>
      <c r="F39" s="16" t="str">
        <f aca="false">IF(F$5="","",INDEX(Data!$B$34:$AQ$34,MATCH(F$5,Data!$B$1:$AQ$1,0)))</f>
        <v/>
      </c>
      <c r="G39" s="16" t="str">
        <f aca="false">IF(G$5="","",INDEX(Data!$B$34:$AQ$34,MATCH(G$5,Data!$B$1:$AQ$1,0)))</f>
        <v/>
      </c>
    </row>
    <row r="40" customFormat="false" ht="15" hidden="false" customHeight="false" outlineLevel="0" collapsed="false">
      <c r="A40" s="14" t="s">
        <v>125</v>
      </c>
      <c r="B40" s="16" t="str">
        <f aca="false">IF(B$5="","",INDEX(Data!$B$35:$AQ$35,MATCH(B$5,Data!$B$1:$AQ$1,0)))</f>
        <v/>
      </c>
      <c r="C40" s="16" t="str">
        <f aca="false">IF(C$5="","",INDEX(Data!$B$35:$AQ$35,MATCH(C$5,Data!$B$1:$AQ$1,0)))</f>
        <v/>
      </c>
      <c r="D40" s="16" t="str">
        <f aca="false">IF(D$5="","",INDEX(Data!$B$35:$AQ$35,MATCH(D$5,Data!$B$1:$AQ$1,0)))</f>
        <v/>
      </c>
      <c r="E40" s="16" t="str">
        <f aca="false">IF(E$5="","",INDEX(Data!$B$35:$AQ$35,MATCH(E$5,Data!$B$1:$AQ$1,0)))</f>
        <v/>
      </c>
      <c r="F40" s="16" t="str">
        <f aca="false">IF(F$5="","",INDEX(Data!$B$35:$AQ$35,MATCH(F$5,Data!$B$1:$AQ$1,0)))</f>
        <v/>
      </c>
      <c r="G40" s="16" t="str">
        <f aca="false">IF(G$5="","",INDEX(Data!$B$35:$AQ$35,MATCH(G$5,Data!$B$1:$AQ$1,0)))</f>
        <v/>
      </c>
    </row>
    <row r="41" customFormat="false" ht="15" hidden="false" customHeight="false" outlineLevel="0" collapsed="false">
      <c r="A41" s="14" t="s">
        <v>126</v>
      </c>
      <c r="B41" s="16" t="str">
        <f aca="false">IF(B$5="","",INDEX(Data!$B$36:$AQ$36,MATCH(B$5,Data!$B$1:$AQ$1,0)))</f>
        <v/>
      </c>
      <c r="C41" s="16" t="str">
        <f aca="false">IF(C$5="","",INDEX(Data!$B$36:$AQ$36,MATCH(C$5,Data!$B$1:$AQ$1,0)))</f>
        <v/>
      </c>
      <c r="D41" s="16" t="str">
        <f aca="false">IF(D$5="","",INDEX(Data!$B$36:$AQ$36,MATCH(D$5,Data!$B$1:$AQ$1,0)))</f>
        <v/>
      </c>
      <c r="E41" s="16" t="str">
        <f aca="false">IF(E$5="","",INDEX(Data!$B$36:$AQ$36,MATCH(E$5,Data!$B$1:$AQ$1,0)))</f>
        <v/>
      </c>
      <c r="F41" s="16" t="str">
        <f aca="false">IF(F$5="","",INDEX(Data!$B$36:$AQ$36,MATCH(F$5,Data!$B$1:$AQ$1,0)))</f>
        <v/>
      </c>
      <c r="G41" s="16" t="str">
        <f aca="false">IF(G$5="","",INDEX(Data!$B$36:$AQ$36,MATCH(G$5,Data!$B$1:$AQ$1,0)))</f>
        <v/>
      </c>
    </row>
    <row r="42" customFormat="false" ht="15" hidden="false" customHeight="false" outlineLevel="0" collapsed="false">
      <c r="A42" s="14" t="s">
        <v>127</v>
      </c>
      <c r="B42" s="16" t="str">
        <f aca="false">IF(B$5="","",INDEX(Data!$B$37:$AQ$37,MATCH(B$5,Data!$B$1:$AQ$1,0)))</f>
        <v/>
      </c>
      <c r="C42" s="16" t="str">
        <f aca="false">IF(C$5="","",INDEX(Data!$B$37:$AQ$37,MATCH(C$5,Data!$B$1:$AQ$1,0)))</f>
        <v/>
      </c>
      <c r="D42" s="16" t="str">
        <f aca="false">IF(D$5="","",INDEX(Data!$B$37:$AQ$37,MATCH(D$5,Data!$B$1:$AQ$1,0)))</f>
        <v/>
      </c>
      <c r="E42" s="16" t="str">
        <f aca="false">IF(E$5="","",INDEX(Data!$B$37:$AQ$37,MATCH(E$5,Data!$B$1:$AQ$1,0)))</f>
        <v/>
      </c>
      <c r="F42" s="16" t="str">
        <f aca="false">IF(F$5="","",INDEX(Data!$B$37:$AQ$37,MATCH(F$5,Data!$B$1:$AQ$1,0)))</f>
        <v/>
      </c>
      <c r="G42" s="16" t="str">
        <f aca="false">IF(G$5="","",INDEX(Data!$B$37:$AQ$37,MATCH(G$5,Data!$B$1:$AQ$1,0)))</f>
        <v/>
      </c>
    </row>
    <row r="44" customFormat="false" ht="15" hidden="false" customHeight="false" outlineLevel="0" collapsed="false">
      <c r="A44" s="7" t="s">
        <v>140</v>
      </c>
      <c r="B44" s="16" t="str">
        <f aca="false">IFERROR(AVERAGE(B31:B42),"")</f>
        <v/>
      </c>
      <c r="C44" s="16" t="str">
        <f aca="false">IFERROR(AVERAGE(C31:C42),"")</f>
        <v/>
      </c>
      <c r="D44" s="16" t="str">
        <f aca="false">IFERROR(AVERAGE(D31:D42),"")</f>
        <v/>
      </c>
      <c r="E44" s="16" t="str">
        <f aca="false">IFERROR(AVERAGE(E31:E42),"")</f>
        <v/>
      </c>
      <c r="F44" s="16" t="str">
        <f aca="false">IFERROR(AVERAGE(F31:F42),"")</f>
        <v/>
      </c>
      <c r="G44" s="16" t="str">
        <f aca="false">IFERROR(AVERAGE(G31:G42),"")</f>
        <v/>
      </c>
    </row>
    <row r="45" customFormat="false" ht="15" hidden="false" customHeight="false" outlineLevel="0" collapsed="false">
      <c r="A45" s="7" t="s">
        <v>141</v>
      </c>
      <c r="B45" s="17" t="str">
        <f aca="false">IFERROR(STDEV(B31:B42)/AVERAGE(B31:B42),"")</f>
        <v/>
      </c>
      <c r="C45" s="17" t="str">
        <f aca="false">IFERROR(STDEV(C31:C42)/AVERAGE(C31:C42),"")</f>
        <v/>
      </c>
      <c r="D45" s="17" t="str">
        <f aca="false">IFERROR(STDEV(D31:D42)/AVERAGE(D31:D42),"")</f>
        <v/>
      </c>
      <c r="E45" s="17" t="str">
        <f aca="false">IFERROR(STDEV(E31:E42)/AVERAGE(E31:E42),"")</f>
        <v/>
      </c>
      <c r="F45" s="17" t="str">
        <f aca="false">IFERROR(STDEV(F31:F42)/AVERAGE(F31:F42),"")</f>
        <v/>
      </c>
      <c r="G45" s="17" t="str">
        <f aca="false">IFERROR(STDEV(G31:G42)/AVERAGE(G31:G42),"")</f>
        <v/>
      </c>
    </row>
    <row r="46" customFormat="false" ht="15" hidden="false" customHeight="false" outlineLevel="0" collapsed="false">
      <c r="A46" s="7" t="s">
        <v>142</v>
      </c>
      <c r="B46" s="18" t="n">
        <f aca="false">IFERROR(COUNTIF(B31:B42,0)/12,"")</f>
        <v>0</v>
      </c>
      <c r="C46" s="18" t="n">
        <f aca="false">IFERROR(COUNTIF(C31:C42,0)/12,"")</f>
        <v>0</v>
      </c>
      <c r="D46" s="18" t="n">
        <f aca="false">IFERROR(COUNTIF(D31:D42,0)/12,"")</f>
        <v>0</v>
      </c>
      <c r="E46" s="18" t="n">
        <f aca="false">IFERROR(COUNTIF(E31:E42,0)/12,"")</f>
        <v>0</v>
      </c>
      <c r="F46" s="18" t="n">
        <f aca="false">IFERROR(COUNTIF(F31:F42,0)/12,"")</f>
        <v>0</v>
      </c>
      <c r="G46" s="18" t="n">
        <f aca="false">IFERROR(COUNTIF(G31:G42,0)/12,"")</f>
        <v>0</v>
      </c>
    </row>
  </sheetData>
  <dataValidations count="1">
    <dataValidation allowBlank="true" errorStyle="stop" operator="between" showDropDown="false" showErrorMessage="false" showInputMessage="false" sqref="B5:G5" type="list">
      <formula1>Data!$B$1:$AQ$1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40"/>
    <col collapsed="false" customWidth="true" hidden="false" outlineLevel="0" max="7" min="7" style="0" width="22"/>
  </cols>
  <sheetData>
    <row r="1" customFormat="false" ht="30" hidden="false" customHeight="tru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4" customFormat="false" ht="30" hidden="false" customHeight="true" outlineLevel="0" collapsed="false">
      <c r="A4" s="6" t="s">
        <v>133</v>
      </c>
      <c r="B4" s="6" t="s">
        <v>49</v>
      </c>
      <c r="C4" s="6" t="s">
        <v>145</v>
      </c>
      <c r="D4" s="6" t="s">
        <v>146</v>
      </c>
      <c r="E4" s="6" t="s">
        <v>147</v>
      </c>
      <c r="F4" s="6" t="s">
        <v>148</v>
      </c>
      <c r="G4" s="6" t="s">
        <v>149</v>
      </c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5" min="3" style="0" width="10"/>
    <col collapsed="false" customWidth="true" hidden="false" outlineLevel="0" max="6" min="6" style="0" width="12"/>
    <col collapsed="false" customWidth="true" hidden="false" outlineLevel="0" max="7" min="7" style="0" width="40"/>
  </cols>
  <sheetData>
    <row r="1" customFormat="false" ht="30" hidden="false" customHeight="true" outlineLevel="0" collapsed="false">
      <c r="A1" s="1" t="s">
        <v>150</v>
      </c>
    </row>
    <row r="2" customFormat="false" ht="15" hidden="false" customHeight="false" outlineLevel="0" collapsed="false">
      <c r="A2" s="2" t="s">
        <v>151</v>
      </c>
    </row>
    <row r="4" customFormat="false" ht="30" hidden="false" customHeight="true" outlineLevel="0" collapsed="false">
      <c r="A4" s="6" t="s">
        <v>133</v>
      </c>
      <c r="B4" s="6" t="s">
        <v>152</v>
      </c>
      <c r="C4" s="6" t="s">
        <v>153</v>
      </c>
      <c r="D4" s="6" t="s">
        <v>154</v>
      </c>
      <c r="E4" s="6" t="s">
        <v>155</v>
      </c>
      <c r="F4" s="6" t="s">
        <v>156</v>
      </c>
      <c r="G4" s="6" t="s">
        <v>157</v>
      </c>
    </row>
    <row r="5" customFormat="false" ht="15" hidden="false" customHeight="false" outlineLevel="0" collapsed="false">
      <c r="A5" s="19"/>
      <c r="B5" s="19"/>
      <c r="C5" s="19"/>
      <c r="D5" s="19"/>
      <c r="E5" s="19"/>
      <c r="F5" s="19"/>
      <c r="G5" s="19"/>
    </row>
    <row r="6" customFormat="false" ht="15" hidden="false" customHeight="false" outlineLevel="0" collapsed="false">
      <c r="A6" s="19"/>
      <c r="B6" s="19"/>
      <c r="C6" s="19"/>
      <c r="D6" s="19"/>
      <c r="E6" s="19"/>
      <c r="F6" s="19"/>
      <c r="G6" s="19"/>
    </row>
    <row r="7" customFormat="false" ht="15" hidden="false" customHeight="false" outlineLevel="0" collapsed="false">
      <c r="A7" s="19"/>
      <c r="B7" s="19"/>
      <c r="C7" s="19"/>
      <c r="D7" s="19"/>
      <c r="E7" s="19"/>
      <c r="F7" s="19"/>
      <c r="G7" s="19"/>
    </row>
    <row r="8" customFormat="false" ht="15" hidden="false" customHeight="false" outlineLevel="0" collapsed="false">
      <c r="A8" s="19"/>
      <c r="B8" s="19"/>
      <c r="C8" s="19"/>
      <c r="D8" s="19"/>
      <c r="E8" s="19"/>
      <c r="F8" s="19"/>
      <c r="G8" s="19"/>
    </row>
    <row r="9" customFormat="false" ht="15" hidden="false" customHeight="false" outlineLevel="0" collapsed="false">
      <c r="A9" s="19"/>
      <c r="B9" s="19"/>
      <c r="C9" s="19"/>
      <c r="D9" s="19"/>
      <c r="E9" s="19"/>
      <c r="F9" s="19"/>
      <c r="G9" s="19"/>
    </row>
    <row r="10" customFormat="false" ht="15" hidden="false" customHeight="false" outlineLevel="0" collapsed="false">
      <c r="A10" s="19"/>
      <c r="B10" s="19"/>
      <c r="C10" s="19"/>
      <c r="D10" s="19"/>
      <c r="E10" s="19"/>
      <c r="F10" s="19"/>
      <c r="G10" s="19"/>
    </row>
    <row r="11" customFormat="false" ht="15" hidden="false" customHeight="false" outlineLevel="0" collapsed="false">
      <c r="A11" s="19"/>
      <c r="B11" s="19"/>
      <c r="C11" s="19"/>
      <c r="D11" s="19"/>
      <c r="E11" s="19"/>
      <c r="F11" s="19"/>
      <c r="G11" s="19"/>
    </row>
    <row r="12" customFormat="false" ht="15" hidden="false" customHeight="false" outlineLevel="0" collapsed="false">
      <c r="A12" s="19"/>
      <c r="B12" s="19"/>
      <c r="C12" s="19"/>
      <c r="D12" s="19"/>
      <c r="E12" s="19"/>
      <c r="F12" s="19"/>
      <c r="G12" s="19"/>
    </row>
    <row r="13" customFormat="false" ht="15" hidden="false" customHeight="false" outlineLevel="0" collapsed="false">
      <c r="A13" s="19"/>
      <c r="B13" s="19"/>
      <c r="C13" s="19"/>
      <c r="D13" s="19"/>
      <c r="E13" s="19"/>
      <c r="F13" s="19"/>
      <c r="G13" s="19"/>
    </row>
    <row r="14" customFormat="false" ht="15" hidden="false" customHeight="false" outlineLevel="0" collapsed="false">
      <c r="A14" s="19"/>
      <c r="B14" s="19"/>
      <c r="C14" s="19"/>
      <c r="D14" s="19"/>
      <c r="E14" s="19"/>
      <c r="F14" s="19"/>
      <c r="G14" s="19"/>
    </row>
    <row r="15" customFormat="false" ht="15" hidden="false" customHeight="false" outlineLevel="0" collapsed="false">
      <c r="A15" s="19"/>
      <c r="B15" s="19"/>
      <c r="C15" s="19"/>
      <c r="D15" s="19"/>
      <c r="E15" s="19"/>
      <c r="F15" s="19"/>
      <c r="G15" s="19"/>
    </row>
    <row r="16" customFormat="false" ht="15" hidden="false" customHeight="false" outlineLevel="0" collapsed="false">
      <c r="A16" s="19"/>
      <c r="B16" s="19"/>
      <c r="C16" s="19"/>
      <c r="D16" s="19"/>
      <c r="E16" s="19"/>
      <c r="F16" s="19"/>
      <c r="G16" s="19"/>
    </row>
    <row r="17" customFormat="false" ht="15" hidden="false" customHeight="false" outlineLevel="0" collapsed="false">
      <c r="A17" s="19"/>
      <c r="B17" s="19"/>
      <c r="C17" s="19"/>
      <c r="D17" s="19"/>
      <c r="E17" s="19"/>
      <c r="F17" s="19"/>
      <c r="G17" s="19"/>
    </row>
    <row r="18" customFormat="false" ht="15" hidden="false" customHeight="false" outlineLevel="0" collapsed="false">
      <c r="A18" s="19"/>
      <c r="B18" s="19"/>
      <c r="C18" s="19"/>
      <c r="D18" s="19"/>
      <c r="E18" s="19"/>
      <c r="F18" s="19"/>
      <c r="G18" s="19"/>
    </row>
    <row r="19" customFormat="false" ht="15" hidden="false" customHeight="false" outlineLevel="0" collapsed="false">
      <c r="A19" s="19"/>
      <c r="B19" s="19"/>
      <c r="C19" s="19"/>
      <c r="D19" s="19"/>
      <c r="E19" s="19"/>
      <c r="F19" s="19"/>
      <c r="G19" s="19"/>
    </row>
    <row r="20" customFormat="false" ht="15" hidden="false" customHeight="false" outlineLevel="0" collapsed="false">
      <c r="A20" s="19"/>
      <c r="B20" s="19"/>
      <c r="C20" s="19"/>
      <c r="D20" s="19"/>
      <c r="E20" s="19"/>
      <c r="F20" s="19"/>
      <c r="G20" s="19"/>
    </row>
    <row r="21" customFormat="false" ht="15" hidden="false" customHeight="false" outlineLevel="0" collapsed="false">
      <c r="A21" s="19"/>
      <c r="B21" s="19"/>
      <c r="C21" s="19"/>
      <c r="D21" s="19"/>
      <c r="E21" s="19"/>
      <c r="F21" s="19"/>
      <c r="G21" s="19"/>
    </row>
    <row r="22" customFormat="false" ht="15" hidden="false" customHeight="false" outlineLevel="0" collapsed="false">
      <c r="A22" s="19"/>
      <c r="B22" s="19"/>
      <c r="C22" s="19"/>
      <c r="D22" s="19"/>
      <c r="E22" s="19"/>
      <c r="F22" s="19"/>
      <c r="G22" s="19"/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</row>
    <row r="24" customFormat="false" ht="15" hidden="false" customHeight="false" outlineLevel="0" collapsed="false">
      <c r="A24" s="19"/>
      <c r="B24" s="19"/>
      <c r="C24" s="19"/>
      <c r="D24" s="19"/>
      <c r="E24" s="19"/>
      <c r="F24" s="19"/>
      <c r="G24" s="19"/>
    </row>
    <row r="25" customFormat="false" ht="15" hidden="false" customHeight="false" outlineLevel="0" collapsed="false">
      <c r="A25" s="19"/>
      <c r="B25" s="19"/>
      <c r="C25" s="19"/>
      <c r="D25" s="19"/>
      <c r="E25" s="19"/>
      <c r="F25" s="19"/>
      <c r="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</row>
    <row r="27" customFormat="false" ht="15" hidden="false" customHeight="false" outlineLevel="0" collapsed="false">
      <c r="A27" s="19"/>
      <c r="B27" s="19"/>
      <c r="C27" s="19"/>
      <c r="D27" s="19"/>
      <c r="E27" s="19"/>
      <c r="F27" s="19"/>
      <c r="G27" s="19"/>
    </row>
    <row r="28" customFormat="false" ht="15" hidden="false" customHeight="false" outlineLevel="0" collapsed="false">
      <c r="A28" s="19"/>
      <c r="B28" s="19"/>
      <c r="C28" s="19"/>
      <c r="D28" s="19"/>
      <c r="E28" s="19"/>
      <c r="F28" s="19"/>
      <c r="G28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4" min="3" style="0" width="11"/>
    <col collapsed="false" customWidth="true" hidden="false" outlineLevel="0" max="6" min="5" style="0" width="12"/>
    <col collapsed="false" customWidth="true" hidden="false" outlineLevel="0" max="7" min="7" style="0" width="40"/>
  </cols>
  <sheetData>
    <row r="1" customFormat="false" ht="30" hidden="false" customHeight="true" outlineLevel="0" collapsed="false">
      <c r="A1" s="1" t="s">
        <v>158</v>
      </c>
    </row>
    <row r="2" customFormat="false" ht="15" hidden="false" customHeight="false" outlineLevel="0" collapsed="false">
      <c r="A2" s="2" t="s">
        <v>159</v>
      </c>
    </row>
    <row r="4" customFormat="false" ht="30" hidden="false" customHeight="true" outlineLevel="0" collapsed="false">
      <c r="A4" s="6" t="s">
        <v>133</v>
      </c>
      <c r="B4" s="6" t="s">
        <v>49</v>
      </c>
      <c r="C4" s="6" t="s">
        <v>160</v>
      </c>
      <c r="D4" s="6" t="s">
        <v>161</v>
      </c>
      <c r="E4" s="6" t="s">
        <v>162</v>
      </c>
      <c r="F4" s="6" t="s">
        <v>163</v>
      </c>
      <c r="G4" s="6" t="s">
        <v>44</v>
      </c>
    </row>
    <row r="5" customFormat="false" ht="15" hidden="false" customHeight="false" outlineLevel="0" collapsed="false">
      <c r="A5" s="14" t="n">
        <f aca="false">01_Portfolio!B$5</f>
        <v>0</v>
      </c>
      <c r="B5" s="14" t="s">
        <v>164</v>
      </c>
      <c r="C5" s="20"/>
      <c r="D5" s="20"/>
      <c r="E5" s="16" t="str">
        <f aca="false">IF(C5="","",C5+N(D5))</f>
        <v/>
      </c>
      <c r="F5" s="10"/>
      <c r="G5" s="10"/>
    </row>
    <row r="6" customFormat="false" ht="15" hidden="false" customHeight="false" outlineLevel="0" collapsed="false">
      <c r="A6" s="14" t="n">
        <f aca="false">01_Portfolio!B$5</f>
        <v>0</v>
      </c>
      <c r="B6" s="14" t="s">
        <v>165</v>
      </c>
      <c r="C6" s="20"/>
      <c r="D6" s="20"/>
      <c r="E6" s="16" t="str">
        <f aca="false">IF(C6="","",C6+N(D6))</f>
        <v/>
      </c>
      <c r="F6" s="10"/>
      <c r="G6" s="10"/>
    </row>
    <row r="7" customFormat="false" ht="15" hidden="false" customHeight="false" outlineLevel="0" collapsed="false">
      <c r="A7" s="14" t="n">
        <f aca="false">01_Portfolio!B$5</f>
        <v>0</v>
      </c>
      <c r="B7" s="14" t="s">
        <v>166</v>
      </c>
      <c r="C7" s="20"/>
      <c r="D7" s="20"/>
      <c r="E7" s="16" t="str">
        <f aca="false">IF(C7="","",C7+N(D7))</f>
        <v/>
      </c>
      <c r="F7" s="10"/>
      <c r="G7" s="10"/>
    </row>
    <row r="8" customFormat="false" ht="15" hidden="false" customHeight="false" outlineLevel="0" collapsed="false">
      <c r="A8" s="14" t="n">
        <f aca="false">01_Portfolio!B$5</f>
        <v>0</v>
      </c>
      <c r="B8" s="14" t="s">
        <v>167</v>
      </c>
      <c r="C8" s="20"/>
      <c r="D8" s="20"/>
      <c r="E8" s="16" t="str">
        <f aca="false">IF(C8="","",C8+N(D8))</f>
        <v/>
      </c>
      <c r="F8" s="10"/>
      <c r="G8" s="10"/>
    </row>
    <row r="9" customFormat="false" ht="15" hidden="false" customHeight="false" outlineLevel="0" collapsed="false">
      <c r="A9" s="14" t="n">
        <f aca="false">01_Portfolio!B$5</f>
        <v>0</v>
      </c>
      <c r="B9" s="14" t="s">
        <v>168</v>
      </c>
      <c r="C9" s="20"/>
      <c r="D9" s="20"/>
      <c r="E9" s="16" t="str">
        <f aca="false">IF(C9="","",C9+N(D9))</f>
        <v/>
      </c>
      <c r="F9" s="10"/>
      <c r="G9" s="10"/>
    </row>
    <row r="10" customFormat="false" ht="15" hidden="false" customHeight="false" outlineLevel="0" collapsed="false">
      <c r="A10" s="14" t="n">
        <f aca="false">01_Portfolio!B$5</f>
        <v>0</v>
      </c>
      <c r="B10" s="14" t="s">
        <v>169</v>
      </c>
      <c r="C10" s="20"/>
      <c r="D10" s="20"/>
      <c r="E10" s="16" t="str">
        <f aca="false">IF(C10="","",C10+N(D10))</f>
        <v/>
      </c>
      <c r="F10" s="10"/>
      <c r="G10" s="10"/>
    </row>
    <row r="11" customFormat="false" ht="15" hidden="false" customHeight="false" outlineLevel="0" collapsed="false">
      <c r="A11" s="14" t="n">
        <f aca="false">01_Portfolio!B$5</f>
        <v>0</v>
      </c>
      <c r="B11" s="14" t="s">
        <v>170</v>
      </c>
      <c r="C11" s="20"/>
      <c r="D11" s="20"/>
      <c r="E11" s="16" t="str">
        <f aca="false">IF(C11="","",C11+N(D11))</f>
        <v/>
      </c>
      <c r="F11" s="10"/>
      <c r="G11" s="10"/>
    </row>
    <row r="12" customFormat="false" ht="15" hidden="false" customHeight="false" outlineLevel="0" collapsed="false">
      <c r="A12" s="14" t="n">
        <f aca="false">01_Portfolio!B$5</f>
        <v>0</v>
      </c>
      <c r="B12" s="14" t="s">
        <v>171</v>
      </c>
      <c r="C12" s="20"/>
      <c r="D12" s="20"/>
      <c r="E12" s="16" t="str">
        <f aca="false">IF(C12="","",C12+N(D12))</f>
        <v/>
      </c>
      <c r="F12" s="10"/>
      <c r="G12" s="10"/>
    </row>
    <row r="13" customFormat="false" ht="15" hidden="false" customHeight="false" outlineLevel="0" collapsed="false">
      <c r="A13" s="14" t="n">
        <f aca="false">01_Portfolio!B$5</f>
        <v>0</v>
      </c>
      <c r="B13" s="14" t="s">
        <v>172</v>
      </c>
      <c r="C13" s="20"/>
      <c r="D13" s="20"/>
      <c r="E13" s="16" t="str">
        <f aca="false">IF(C13="","",C13+N(D13))</f>
        <v/>
      </c>
      <c r="F13" s="10"/>
      <c r="G13" s="10"/>
    </row>
    <row r="14" customFormat="false" ht="15" hidden="false" customHeight="false" outlineLevel="0" collapsed="false">
      <c r="A14" s="14" t="n">
        <f aca="false">01_Portfolio!B$5</f>
        <v>0</v>
      </c>
      <c r="B14" s="14" t="s">
        <v>173</v>
      </c>
      <c r="C14" s="20"/>
      <c r="D14" s="20"/>
      <c r="E14" s="16" t="str">
        <f aca="false">IF(C14="","",C14+N(D14))</f>
        <v/>
      </c>
      <c r="F14" s="10"/>
      <c r="G14" s="10"/>
    </row>
    <row r="15" customFormat="false" ht="15" hidden="false" customHeight="false" outlineLevel="0" collapsed="false">
      <c r="A15" s="14" t="n">
        <f aca="false">01_Portfolio!B$5</f>
        <v>0</v>
      </c>
      <c r="B15" s="14" t="s">
        <v>174</v>
      </c>
      <c r="C15" s="20"/>
      <c r="D15" s="20"/>
      <c r="E15" s="16" t="str">
        <f aca="false">IF(C15="","",C15+N(D15))</f>
        <v/>
      </c>
      <c r="F15" s="10"/>
      <c r="G15" s="10"/>
    </row>
    <row r="16" customFormat="false" ht="15" hidden="false" customHeight="false" outlineLevel="0" collapsed="false">
      <c r="A16" s="14" t="n">
        <f aca="false">01_Portfolio!B$5</f>
        <v>0</v>
      </c>
      <c r="B16" s="14" t="s">
        <v>175</v>
      </c>
      <c r="C16" s="20"/>
      <c r="D16" s="20"/>
      <c r="E16" s="16" t="str">
        <f aca="false">IF(C16="","",C16+N(D16))</f>
        <v/>
      </c>
      <c r="F16" s="10"/>
      <c r="G16" s="10"/>
    </row>
    <row r="17" customFormat="false" ht="15" hidden="false" customHeight="false" outlineLevel="0" collapsed="false">
      <c r="A17" s="14" t="n">
        <f aca="false">01_Portfolio!C$5</f>
        <v>0</v>
      </c>
      <c r="B17" s="14" t="s">
        <v>164</v>
      </c>
      <c r="C17" s="20"/>
      <c r="D17" s="20"/>
      <c r="E17" s="16" t="str">
        <f aca="false">IF(C17="","",C17+N(D17))</f>
        <v/>
      </c>
      <c r="F17" s="10"/>
      <c r="G17" s="10"/>
    </row>
    <row r="18" customFormat="false" ht="15" hidden="false" customHeight="false" outlineLevel="0" collapsed="false">
      <c r="A18" s="14" t="n">
        <f aca="false">01_Portfolio!C$5</f>
        <v>0</v>
      </c>
      <c r="B18" s="14" t="s">
        <v>165</v>
      </c>
      <c r="C18" s="20"/>
      <c r="D18" s="20"/>
      <c r="E18" s="16" t="str">
        <f aca="false">IF(C18="","",C18+N(D18))</f>
        <v/>
      </c>
      <c r="F18" s="10"/>
      <c r="G18" s="10"/>
    </row>
    <row r="19" customFormat="false" ht="15" hidden="false" customHeight="false" outlineLevel="0" collapsed="false">
      <c r="A19" s="14" t="n">
        <f aca="false">01_Portfolio!C$5</f>
        <v>0</v>
      </c>
      <c r="B19" s="14" t="s">
        <v>166</v>
      </c>
      <c r="C19" s="20"/>
      <c r="D19" s="20"/>
      <c r="E19" s="16" t="str">
        <f aca="false">IF(C19="","",C19+N(D19))</f>
        <v/>
      </c>
      <c r="F19" s="10"/>
      <c r="G19" s="10"/>
    </row>
    <row r="20" customFormat="false" ht="15" hidden="false" customHeight="false" outlineLevel="0" collapsed="false">
      <c r="A20" s="14" t="n">
        <f aca="false">01_Portfolio!C$5</f>
        <v>0</v>
      </c>
      <c r="B20" s="14" t="s">
        <v>167</v>
      </c>
      <c r="C20" s="20"/>
      <c r="D20" s="20"/>
      <c r="E20" s="16" t="str">
        <f aca="false">IF(C20="","",C20+N(D20))</f>
        <v/>
      </c>
      <c r="F20" s="10"/>
      <c r="G20" s="10"/>
    </row>
    <row r="21" customFormat="false" ht="15" hidden="false" customHeight="false" outlineLevel="0" collapsed="false">
      <c r="A21" s="14" t="n">
        <f aca="false">01_Portfolio!C$5</f>
        <v>0</v>
      </c>
      <c r="B21" s="14" t="s">
        <v>168</v>
      </c>
      <c r="C21" s="20"/>
      <c r="D21" s="20"/>
      <c r="E21" s="16" t="str">
        <f aca="false">IF(C21="","",C21+N(D21))</f>
        <v/>
      </c>
      <c r="F21" s="10"/>
      <c r="G21" s="10"/>
    </row>
    <row r="22" customFormat="false" ht="15" hidden="false" customHeight="false" outlineLevel="0" collapsed="false">
      <c r="A22" s="14" t="n">
        <f aca="false">01_Portfolio!C$5</f>
        <v>0</v>
      </c>
      <c r="B22" s="14" t="s">
        <v>169</v>
      </c>
      <c r="C22" s="20"/>
      <c r="D22" s="20"/>
      <c r="E22" s="16" t="str">
        <f aca="false">IF(C22="","",C22+N(D22))</f>
        <v/>
      </c>
      <c r="F22" s="10"/>
      <c r="G22" s="10"/>
    </row>
    <row r="23" customFormat="false" ht="15" hidden="false" customHeight="false" outlineLevel="0" collapsed="false">
      <c r="A23" s="14" t="n">
        <f aca="false">01_Portfolio!C$5</f>
        <v>0</v>
      </c>
      <c r="B23" s="14" t="s">
        <v>170</v>
      </c>
      <c r="C23" s="20"/>
      <c r="D23" s="20"/>
      <c r="E23" s="16" t="str">
        <f aca="false">IF(C23="","",C23+N(D23))</f>
        <v/>
      </c>
      <c r="F23" s="10"/>
      <c r="G23" s="10"/>
    </row>
    <row r="24" customFormat="false" ht="15" hidden="false" customHeight="false" outlineLevel="0" collapsed="false">
      <c r="A24" s="14" t="n">
        <f aca="false">01_Portfolio!C$5</f>
        <v>0</v>
      </c>
      <c r="B24" s="14" t="s">
        <v>171</v>
      </c>
      <c r="C24" s="20"/>
      <c r="D24" s="20"/>
      <c r="E24" s="16" t="str">
        <f aca="false">IF(C24="","",C24+N(D24))</f>
        <v/>
      </c>
      <c r="F24" s="10"/>
      <c r="G24" s="10"/>
    </row>
    <row r="25" customFormat="false" ht="15" hidden="false" customHeight="false" outlineLevel="0" collapsed="false">
      <c r="A25" s="14" t="n">
        <f aca="false">01_Portfolio!C$5</f>
        <v>0</v>
      </c>
      <c r="B25" s="14" t="s">
        <v>172</v>
      </c>
      <c r="C25" s="20"/>
      <c r="D25" s="20"/>
      <c r="E25" s="16" t="str">
        <f aca="false">IF(C25="","",C25+N(D25))</f>
        <v/>
      </c>
      <c r="F25" s="10"/>
      <c r="G25" s="10"/>
    </row>
    <row r="26" customFormat="false" ht="15" hidden="false" customHeight="false" outlineLevel="0" collapsed="false">
      <c r="A26" s="14" t="n">
        <f aca="false">01_Portfolio!C$5</f>
        <v>0</v>
      </c>
      <c r="B26" s="14" t="s">
        <v>173</v>
      </c>
      <c r="C26" s="20"/>
      <c r="D26" s="20"/>
      <c r="E26" s="16" t="str">
        <f aca="false">IF(C26="","",C26+N(D26))</f>
        <v/>
      </c>
      <c r="F26" s="10"/>
      <c r="G26" s="10"/>
    </row>
    <row r="27" customFormat="false" ht="15" hidden="false" customHeight="false" outlineLevel="0" collapsed="false">
      <c r="A27" s="14" t="n">
        <f aca="false">01_Portfolio!C$5</f>
        <v>0</v>
      </c>
      <c r="B27" s="14" t="s">
        <v>174</v>
      </c>
      <c r="C27" s="20"/>
      <c r="D27" s="20"/>
      <c r="E27" s="16" t="str">
        <f aca="false">IF(C27="","",C27+N(D27))</f>
        <v/>
      </c>
      <c r="F27" s="10"/>
      <c r="G27" s="10"/>
    </row>
    <row r="28" customFormat="false" ht="15" hidden="false" customHeight="false" outlineLevel="0" collapsed="false">
      <c r="A28" s="14" t="n">
        <f aca="false">01_Portfolio!C$5</f>
        <v>0</v>
      </c>
      <c r="B28" s="14" t="s">
        <v>175</v>
      </c>
      <c r="C28" s="20"/>
      <c r="D28" s="20"/>
      <c r="E28" s="16" t="str">
        <f aca="false">IF(C28="","",C28+N(D28))</f>
        <v/>
      </c>
      <c r="F28" s="10"/>
      <c r="G28" s="10"/>
    </row>
    <row r="29" customFormat="false" ht="15" hidden="false" customHeight="false" outlineLevel="0" collapsed="false">
      <c r="A29" s="14" t="n">
        <f aca="false">01_Portfolio!D$5</f>
        <v>0</v>
      </c>
      <c r="B29" s="14" t="s">
        <v>164</v>
      </c>
      <c r="C29" s="20"/>
      <c r="D29" s="20"/>
      <c r="E29" s="16" t="str">
        <f aca="false">IF(C29="","",C29+N(D29))</f>
        <v/>
      </c>
      <c r="F29" s="10"/>
      <c r="G29" s="10"/>
    </row>
    <row r="30" customFormat="false" ht="15" hidden="false" customHeight="false" outlineLevel="0" collapsed="false">
      <c r="A30" s="14" t="n">
        <f aca="false">01_Portfolio!D$5</f>
        <v>0</v>
      </c>
      <c r="B30" s="14" t="s">
        <v>165</v>
      </c>
      <c r="C30" s="20"/>
      <c r="D30" s="20"/>
      <c r="E30" s="16" t="str">
        <f aca="false">IF(C30="","",C30+N(D30))</f>
        <v/>
      </c>
      <c r="F30" s="10"/>
      <c r="G30" s="10"/>
    </row>
    <row r="31" customFormat="false" ht="15" hidden="false" customHeight="false" outlineLevel="0" collapsed="false">
      <c r="A31" s="14" t="n">
        <f aca="false">01_Portfolio!D$5</f>
        <v>0</v>
      </c>
      <c r="B31" s="14" t="s">
        <v>166</v>
      </c>
      <c r="C31" s="20"/>
      <c r="D31" s="20"/>
      <c r="E31" s="16" t="str">
        <f aca="false">IF(C31="","",C31+N(D31))</f>
        <v/>
      </c>
      <c r="F31" s="10"/>
      <c r="G31" s="10"/>
    </row>
    <row r="32" customFormat="false" ht="15" hidden="false" customHeight="false" outlineLevel="0" collapsed="false">
      <c r="A32" s="14" t="n">
        <f aca="false">01_Portfolio!D$5</f>
        <v>0</v>
      </c>
      <c r="B32" s="14" t="s">
        <v>167</v>
      </c>
      <c r="C32" s="20"/>
      <c r="D32" s="20"/>
      <c r="E32" s="16" t="str">
        <f aca="false">IF(C32="","",C32+N(D32))</f>
        <v/>
      </c>
      <c r="F32" s="10"/>
      <c r="G32" s="10"/>
    </row>
    <row r="33" customFormat="false" ht="15" hidden="false" customHeight="false" outlineLevel="0" collapsed="false">
      <c r="A33" s="14" t="n">
        <f aca="false">01_Portfolio!D$5</f>
        <v>0</v>
      </c>
      <c r="B33" s="14" t="s">
        <v>168</v>
      </c>
      <c r="C33" s="20"/>
      <c r="D33" s="20"/>
      <c r="E33" s="16" t="str">
        <f aca="false">IF(C33="","",C33+N(D33))</f>
        <v/>
      </c>
      <c r="F33" s="10"/>
      <c r="G33" s="10"/>
    </row>
    <row r="34" customFormat="false" ht="15" hidden="false" customHeight="false" outlineLevel="0" collapsed="false">
      <c r="A34" s="14" t="n">
        <f aca="false">01_Portfolio!D$5</f>
        <v>0</v>
      </c>
      <c r="B34" s="14" t="s">
        <v>169</v>
      </c>
      <c r="C34" s="20"/>
      <c r="D34" s="20"/>
      <c r="E34" s="16" t="str">
        <f aca="false">IF(C34="","",C34+N(D34))</f>
        <v/>
      </c>
      <c r="F34" s="10"/>
      <c r="G34" s="10"/>
    </row>
    <row r="35" customFormat="false" ht="15" hidden="false" customHeight="false" outlineLevel="0" collapsed="false">
      <c r="A35" s="14" t="n">
        <f aca="false">01_Portfolio!D$5</f>
        <v>0</v>
      </c>
      <c r="B35" s="14" t="s">
        <v>170</v>
      </c>
      <c r="C35" s="20"/>
      <c r="D35" s="20"/>
      <c r="E35" s="16" t="str">
        <f aca="false">IF(C35="","",C35+N(D35))</f>
        <v/>
      </c>
      <c r="F35" s="10"/>
      <c r="G35" s="10"/>
    </row>
    <row r="36" customFormat="false" ht="15" hidden="false" customHeight="false" outlineLevel="0" collapsed="false">
      <c r="A36" s="14" t="n">
        <f aca="false">01_Portfolio!D$5</f>
        <v>0</v>
      </c>
      <c r="B36" s="14" t="s">
        <v>171</v>
      </c>
      <c r="C36" s="20"/>
      <c r="D36" s="20"/>
      <c r="E36" s="16" t="str">
        <f aca="false">IF(C36="","",C36+N(D36))</f>
        <v/>
      </c>
      <c r="F36" s="10"/>
      <c r="G36" s="10"/>
    </row>
    <row r="37" customFormat="false" ht="15" hidden="false" customHeight="false" outlineLevel="0" collapsed="false">
      <c r="A37" s="14" t="n">
        <f aca="false">01_Portfolio!D$5</f>
        <v>0</v>
      </c>
      <c r="B37" s="14" t="s">
        <v>172</v>
      </c>
      <c r="C37" s="20"/>
      <c r="D37" s="20"/>
      <c r="E37" s="16" t="str">
        <f aca="false">IF(C37="","",C37+N(D37))</f>
        <v/>
      </c>
      <c r="F37" s="10"/>
      <c r="G37" s="10"/>
    </row>
    <row r="38" customFormat="false" ht="15" hidden="false" customHeight="false" outlineLevel="0" collapsed="false">
      <c r="A38" s="14" t="n">
        <f aca="false">01_Portfolio!D$5</f>
        <v>0</v>
      </c>
      <c r="B38" s="14" t="s">
        <v>173</v>
      </c>
      <c r="C38" s="20"/>
      <c r="D38" s="20"/>
      <c r="E38" s="16" t="str">
        <f aca="false">IF(C38="","",C38+N(D38))</f>
        <v/>
      </c>
      <c r="F38" s="10"/>
      <c r="G38" s="10"/>
    </row>
    <row r="39" customFormat="false" ht="15" hidden="false" customHeight="false" outlineLevel="0" collapsed="false">
      <c r="A39" s="14" t="n">
        <f aca="false">01_Portfolio!D$5</f>
        <v>0</v>
      </c>
      <c r="B39" s="14" t="s">
        <v>174</v>
      </c>
      <c r="C39" s="20"/>
      <c r="D39" s="20"/>
      <c r="E39" s="16" t="str">
        <f aca="false">IF(C39="","",C39+N(D39))</f>
        <v/>
      </c>
      <c r="F39" s="10"/>
      <c r="G39" s="10"/>
    </row>
    <row r="40" customFormat="false" ht="15" hidden="false" customHeight="false" outlineLevel="0" collapsed="false">
      <c r="A40" s="14" t="n">
        <f aca="false">01_Portfolio!D$5</f>
        <v>0</v>
      </c>
      <c r="B40" s="14" t="s">
        <v>175</v>
      </c>
      <c r="C40" s="20"/>
      <c r="D40" s="20"/>
      <c r="E40" s="16" t="str">
        <f aca="false">IF(C40="","",C40+N(D40))</f>
        <v/>
      </c>
      <c r="F40" s="10"/>
      <c r="G40" s="10"/>
    </row>
    <row r="41" customFormat="false" ht="15" hidden="false" customHeight="false" outlineLevel="0" collapsed="false">
      <c r="A41" s="14" t="n">
        <f aca="false">01_Portfolio!E$5</f>
        <v>0</v>
      </c>
      <c r="B41" s="14" t="s">
        <v>164</v>
      </c>
      <c r="C41" s="20"/>
      <c r="D41" s="20"/>
      <c r="E41" s="16" t="str">
        <f aca="false">IF(C41="","",C41+N(D41))</f>
        <v/>
      </c>
      <c r="F41" s="10"/>
      <c r="G41" s="10"/>
    </row>
    <row r="42" customFormat="false" ht="15" hidden="false" customHeight="false" outlineLevel="0" collapsed="false">
      <c r="A42" s="14" t="n">
        <f aca="false">01_Portfolio!E$5</f>
        <v>0</v>
      </c>
      <c r="B42" s="14" t="s">
        <v>165</v>
      </c>
      <c r="C42" s="20"/>
      <c r="D42" s="20"/>
      <c r="E42" s="16" t="str">
        <f aca="false">IF(C42="","",C42+N(D42))</f>
        <v/>
      </c>
      <c r="F42" s="10"/>
      <c r="G42" s="10"/>
    </row>
    <row r="43" customFormat="false" ht="15" hidden="false" customHeight="false" outlineLevel="0" collapsed="false">
      <c r="A43" s="14" t="n">
        <f aca="false">01_Portfolio!E$5</f>
        <v>0</v>
      </c>
      <c r="B43" s="14" t="s">
        <v>166</v>
      </c>
      <c r="C43" s="20"/>
      <c r="D43" s="20"/>
      <c r="E43" s="16" t="str">
        <f aca="false">IF(C43="","",C43+N(D43))</f>
        <v/>
      </c>
      <c r="F43" s="10"/>
      <c r="G43" s="10"/>
    </row>
    <row r="44" customFormat="false" ht="15" hidden="false" customHeight="false" outlineLevel="0" collapsed="false">
      <c r="A44" s="14" t="n">
        <f aca="false">01_Portfolio!E$5</f>
        <v>0</v>
      </c>
      <c r="B44" s="14" t="s">
        <v>167</v>
      </c>
      <c r="C44" s="20"/>
      <c r="D44" s="20"/>
      <c r="E44" s="16" t="str">
        <f aca="false">IF(C44="","",C44+N(D44))</f>
        <v/>
      </c>
      <c r="F44" s="10"/>
      <c r="G44" s="10"/>
    </row>
    <row r="45" customFormat="false" ht="15" hidden="false" customHeight="false" outlineLevel="0" collapsed="false">
      <c r="A45" s="14" t="n">
        <f aca="false">01_Portfolio!E$5</f>
        <v>0</v>
      </c>
      <c r="B45" s="14" t="s">
        <v>168</v>
      </c>
      <c r="C45" s="20"/>
      <c r="D45" s="20"/>
      <c r="E45" s="16" t="str">
        <f aca="false">IF(C45="","",C45+N(D45))</f>
        <v/>
      </c>
      <c r="F45" s="10"/>
      <c r="G45" s="10"/>
    </row>
    <row r="46" customFormat="false" ht="15" hidden="false" customHeight="false" outlineLevel="0" collapsed="false">
      <c r="A46" s="14" t="n">
        <f aca="false">01_Portfolio!E$5</f>
        <v>0</v>
      </c>
      <c r="B46" s="14" t="s">
        <v>169</v>
      </c>
      <c r="C46" s="20"/>
      <c r="D46" s="20"/>
      <c r="E46" s="16" t="str">
        <f aca="false">IF(C46="","",C46+N(D46))</f>
        <v/>
      </c>
      <c r="F46" s="10"/>
      <c r="G46" s="10"/>
    </row>
    <row r="47" customFormat="false" ht="15" hidden="false" customHeight="false" outlineLevel="0" collapsed="false">
      <c r="A47" s="14" t="n">
        <f aca="false">01_Portfolio!E$5</f>
        <v>0</v>
      </c>
      <c r="B47" s="14" t="s">
        <v>170</v>
      </c>
      <c r="C47" s="20"/>
      <c r="D47" s="20"/>
      <c r="E47" s="16" t="str">
        <f aca="false">IF(C47="","",C47+N(D47))</f>
        <v/>
      </c>
      <c r="F47" s="10"/>
      <c r="G47" s="10"/>
    </row>
    <row r="48" customFormat="false" ht="15" hidden="false" customHeight="false" outlineLevel="0" collapsed="false">
      <c r="A48" s="14" t="n">
        <f aca="false">01_Portfolio!E$5</f>
        <v>0</v>
      </c>
      <c r="B48" s="14" t="s">
        <v>171</v>
      </c>
      <c r="C48" s="20"/>
      <c r="D48" s="20"/>
      <c r="E48" s="16" t="str">
        <f aca="false">IF(C48="","",C48+N(D48))</f>
        <v/>
      </c>
      <c r="F48" s="10"/>
      <c r="G48" s="10"/>
    </row>
    <row r="49" customFormat="false" ht="15" hidden="false" customHeight="false" outlineLevel="0" collapsed="false">
      <c r="A49" s="14" t="n">
        <f aca="false">01_Portfolio!E$5</f>
        <v>0</v>
      </c>
      <c r="B49" s="14" t="s">
        <v>172</v>
      </c>
      <c r="C49" s="20"/>
      <c r="D49" s="20"/>
      <c r="E49" s="16" t="str">
        <f aca="false">IF(C49="","",C49+N(D49))</f>
        <v/>
      </c>
      <c r="F49" s="10"/>
      <c r="G49" s="10"/>
    </row>
    <row r="50" customFormat="false" ht="15" hidden="false" customHeight="false" outlineLevel="0" collapsed="false">
      <c r="A50" s="14" t="n">
        <f aca="false">01_Portfolio!E$5</f>
        <v>0</v>
      </c>
      <c r="B50" s="14" t="s">
        <v>173</v>
      </c>
      <c r="C50" s="20"/>
      <c r="D50" s="20"/>
      <c r="E50" s="16" t="str">
        <f aca="false">IF(C50="","",C50+N(D50))</f>
        <v/>
      </c>
      <c r="F50" s="10"/>
      <c r="G50" s="10"/>
    </row>
    <row r="51" customFormat="false" ht="15" hidden="false" customHeight="false" outlineLevel="0" collapsed="false">
      <c r="A51" s="14" t="n">
        <f aca="false">01_Portfolio!E$5</f>
        <v>0</v>
      </c>
      <c r="B51" s="14" t="s">
        <v>174</v>
      </c>
      <c r="C51" s="20"/>
      <c r="D51" s="20"/>
      <c r="E51" s="16" t="str">
        <f aca="false">IF(C51="","",C51+N(D51))</f>
        <v/>
      </c>
      <c r="F51" s="10"/>
      <c r="G51" s="10"/>
    </row>
    <row r="52" customFormat="false" ht="15" hidden="false" customHeight="false" outlineLevel="0" collapsed="false">
      <c r="A52" s="14" t="n">
        <f aca="false">01_Portfolio!E$5</f>
        <v>0</v>
      </c>
      <c r="B52" s="14" t="s">
        <v>175</v>
      </c>
      <c r="C52" s="20"/>
      <c r="D52" s="20"/>
      <c r="E52" s="16" t="str">
        <f aca="false">IF(C52="","",C52+N(D52))</f>
        <v/>
      </c>
      <c r="F52" s="10"/>
      <c r="G52" s="10"/>
    </row>
    <row r="53" customFormat="false" ht="15" hidden="false" customHeight="false" outlineLevel="0" collapsed="false">
      <c r="A53" s="14" t="n">
        <f aca="false">01_Portfolio!F$5</f>
        <v>0</v>
      </c>
      <c r="B53" s="14" t="s">
        <v>164</v>
      </c>
      <c r="C53" s="20"/>
      <c r="D53" s="20"/>
      <c r="E53" s="16" t="str">
        <f aca="false">IF(C53="","",C53+N(D53))</f>
        <v/>
      </c>
      <c r="F53" s="10"/>
      <c r="G53" s="10"/>
    </row>
    <row r="54" customFormat="false" ht="15" hidden="false" customHeight="false" outlineLevel="0" collapsed="false">
      <c r="A54" s="14" t="n">
        <f aca="false">01_Portfolio!F$5</f>
        <v>0</v>
      </c>
      <c r="B54" s="14" t="s">
        <v>165</v>
      </c>
      <c r="C54" s="20"/>
      <c r="D54" s="20"/>
      <c r="E54" s="16" t="str">
        <f aca="false">IF(C54="","",C54+N(D54))</f>
        <v/>
      </c>
      <c r="F54" s="10"/>
      <c r="G54" s="10"/>
    </row>
    <row r="55" customFormat="false" ht="15" hidden="false" customHeight="false" outlineLevel="0" collapsed="false">
      <c r="A55" s="14" t="n">
        <f aca="false">01_Portfolio!F$5</f>
        <v>0</v>
      </c>
      <c r="B55" s="14" t="s">
        <v>166</v>
      </c>
      <c r="C55" s="20"/>
      <c r="D55" s="20"/>
      <c r="E55" s="16" t="str">
        <f aca="false">IF(C55="","",C55+N(D55))</f>
        <v/>
      </c>
      <c r="F55" s="10"/>
      <c r="G55" s="10"/>
    </row>
    <row r="56" customFormat="false" ht="15" hidden="false" customHeight="false" outlineLevel="0" collapsed="false">
      <c r="A56" s="14" t="n">
        <f aca="false">01_Portfolio!F$5</f>
        <v>0</v>
      </c>
      <c r="B56" s="14" t="s">
        <v>167</v>
      </c>
      <c r="C56" s="20"/>
      <c r="D56" s="20"/>
      <c r="E56" s="16" t="str">
        <f aca="false">IF(C56="","",C56+N(D56))</f>
        <v/>
      </c>
      <c r="F56" s="10"/>
      <c r="G56" s="10"/>
    </row>
    <row r="57" customFormat="false" ht="15" hidden="false" customHeight="false" outlineLevel="0" collapsed="false">
      <c r="A57" s="14" t="n">
        <f aca="false">01_Portfolio!F$5</f>
        <v>0</v>
      </c>
      <c r="B57" s="14" t="s">
        <v>168</v>
      </c>
      <c r="C57" s="20"/>
      <c r="D57" s="20"/>
      <c r="E57" s="16" t="str">
        <f aca="false">IF(C57="","",C57+N(D57))</f>
        <v/>
      </c>
      <c r="F57" s="10"/>
      <c r="G57" s="10"/>
    </row>
    <row r="58" customFormat="false" ht="15" hidden="false" customHeight="false" outlineLevel="0" collapsed="false">
      <c r="A58" s="14" t="n">
        <f aca="false">01_Portfolio!F$5</f>
        <v>0</v>
      </c>
      <c r="B58" s="14" t="s">
        <v>169</v>
      </c>
      <c r="C58" s="20"/>
      <c r="D58" s="20"/>
      <c r="E58" s="16" t="str">
        <f aca="false">IF(C58="","",C58+N(D58))</f>
        <v/>
      </c>
      <c r="F58" s="10"/>
      <c r="G58" s="10"/>
    </row>
    <row r="59" customFormat="false" ht="15" hidden="false" customHeight="false" outlineLevel="0" collapsed="false">
      <c r="A59" s="14" t="n">
        <f aca="false">01_Portfolio!F$5</f>
        <v>0</v>
      </c>
      <c r="B59" s="14" t="s">
        <v>170</v>
      </c>
      <c r="C59" s="20"/>
      <c r="D59" s="20"/>
      <c r="E59" s="16" t="str">
        <f aca="false">IF(C59="","",C59+N(D59))</f>
        <v/>
      </c>
      <c r="F59" s="10"/>
      <c r="G59" s="10"/>
    </row>
    <row r="60" customFormat="false" ht="15" hidden="false" customHeight="false" outlineLevel="0" collapsed="false">
      <c r="A60" s="14" t="n">
        <f aca="false">01_Portfolio!F$5</f>
        <v>0</v>
      </c>
      <c r="B60" s="14" t="s">
        <v>171</v>
      </c>
      <c r="C60" s="20"/>
      <c r="D60" s="20"/>
      <c r="E60" s="16" t="str">
        <f aca="false">IF(C60="","",C60+N(D60))</f>
        <v/>
      </c>
      <c r="F60" s="10"/>
      <c r="G60" s="10"/>
    </row>
    <row r="61" customFormat="false" ht="15" hidden="false" customHeight="false" outlineLevel="0" collapsed="false">
      <c r="A61" s="14" t="n">
        <f aca="false">01_Portfolio!F$5</f>
        <v>0</v>
      </c>
      <c r="B61" s="14" t="s">
        <v>172</v>
      </c>
      <c r="C61" s="20"/>
      <c r="D61" s="20"/>
      <c r="E61" s="16" t="str">
        <f aca="false">IF(C61="","",C61+N(D61))</f>
        <v/>
      </c>
      <c r="F61" s="10"/>
      <c r="G61" s="10"/>
    </row>
    <row r="62" customFormat="false" ht="15" hidden="false" customHeight="false" outlineLevel="0" collapsed="false">
      <c r="A62" s="14" t="n">
        <f aca="false">01_Portfolio!F$5</f>
        <v>0</v>
      </c>
      <c r="B62" s="14" t="s">
        <v>173</v>
      </c>
      <c r="C62" s="20"/>
      <c r="D62" s="20"/>
      <c r="E62" s="16" t="str">
        <f aca="false">IF(C62="","",C62+N(D62))</f>
        <v/>
      </c>
      <c r="F62" s="10"/>
      <c r="G62" s="10"/>
    </row>
    <row r="63" customFormat="false" ht="15" hidden="false" customHeight="false" outlineLevel="0" collapsed="false">
      <c r="A63" s="14" t="n">
        <f aca="false">01_Portfolio!F$5</f>
        <v>0</v>
      </c>
      <c r="B63" s="14" t="s">
        <v>174</v>
      </c>
      <c r="C63" s="20"/>
      <c r="D63" s="20"/>
      <c r="E63" s="16" t="str">
        <f aca="false">IF(C63="","",C63+N(D63))</f>
        <v/>
      </c>
      <c r="F63" s="10"/>
      <c r="G63" s="10"/>
    </row>
    <row r="64" customFormat="false" ht="15" hidden="false" customHeight="false" outlineLevel="0" collapsed="false">
      <c r="A64" s="14" t="n">
        <f aca="false">01_Portfolio!F$5</f>
        <v>0</v>
      </c>
      <c r="B64" s="14" t="s">
        <v>175</v>
      </c>
      <c r="C64" s="20"/>
      <c r="D64" s="20"/>
      <c r="E64" s="16" t="str">
        <f aca="false">IF(C64="","",C64+N(D64))</f>
        <v/>
      </c>
      <c r="F64" s="10"/>
      <c r="G64" s="10"/>
    </row>
    <row r="65" customFormat="false" ht="15" hidden="false" customHeight="false" outlineLevel="0" collapsed="false">
      <c r="A65" s="14" t="n">
        <f aca="false">01_Portfolio!G$5</f>
        <v>0</v>
      </c>
      <c r="B65" s="14" t="s">
        <v>164</v>
      </c>
      <c r="C65" s="20"/>
      <c r="D65" s="20"/>
      <c r="E65" s="16" t="str">
        <f aca="false">IF(C65="","",C65+N(D65))</f>
        <v/>
      </c>
      <c r="F65" s="10"/>
      <c r="G65" s="10"/>
    </row>
    <row r="66" customFormat="false" ht="15" hidden="false" customHeight="false" outlineLevel="0" collapsed="false">
      <c r="A66" s="14" t="n">
        <f aca="false">01_Portfolio!G$5</f>
        <v>0</v>
      </c>
      <c r="B66" s="14" t="s">
        <v>165</v>
      </c>
      <c r="C66" s="20"/>
      <c r="D66" s="20"/>
      <c r="E66" s="16" t="str">
        <f aca="false">IF(C66="","",C66+N(D66))</f>
        <v/>
      </c>
      <c r="F66" s="10"/>
      <c r="G66" s="10"/>
    </row>
    <row r="67" customFormat="false" ht="15" hidden="false" customHeight="false" outlineLevel="0" collapsed="false">
      <c r="A67" s="14" t="n">
        <f aca="false">01_Portfolio!G$5</f>
        <v>0</v>
      </c>
      <c r="B67" s="14" t="s">
        <v>166</v>
      </c>
      <c r="C67" s="20"/>
      <c r="D67" s="20"/>
      <c r="E67" s="16" t="str">
        <f aca="false">IF(C67="","",C67+N(D67))</f>
        <v/>
      </c>
      <c r="F67" s="10"/>
      <c r="G67" s="10"/>
    </row>
    <row r="68" customFormat="false" ht="15" hidden="false" customHeight="false" outlineLevel="0" collapsed="false">
      <c r="A68" s="14" t="n">
        <f aca="false">01_Portfolio!G$5</f>
        <v>0</v>
      </c>
      <c r="B68" s="14" t="s">
        <v>167</v>
      </c>
      <c r="C68" s="20"/>
      <c r="D68" s="20"/>
      <c r="E68" s="16" t="str">
        <f aca="false">IF(C68="","",C68+N(D68))</f>
        <v/>
      </c>
      <c r="F68" s="10"/>
      <c r="G68" s="10"/>
    </row>
    <row r="69" customFormat="false" ht="15" hidden="false" customHeight="false" outlineLevel="0" collapsed="false">
      <c r="A69" s="14" t="n">
        <f aca="false">01_Portfolio!G$5</f>
        <v>0</v>
      </c>
      <c r="B69" s="14" t="s">
        <v>168</v>
      </c>
      <c r="C69" s="20"/>
      <c r="D69" s="20"/>
      <c r="E69" s="16" t="str">
        <f aca="false">IF(C69="","",C69+N(D69))</f>
        <v/>
      </c>
      <c r="F69" s="10"/>
      <c r="G69" s="10"/>
    </row>
    <row r="70" customFormat="false" ht="15" hidden="false" customHeight="false" outlineLevel="0" collapsed="false">
      <c r="A70" s="14" t="n">
        <f aca="false">01_Portfolio!G$5</f>
        <v>0</v>
      </c>
      <c r="B70" s="14" t="s">
        <v>169</v>
      </c>
      <c r="C70" s="20"/>
      <c r="D70" s="20"/>
      <c r="E70" s="16" t="str">
        <f aca="false">IF(C70="","",C70+N(D70))</f>
        <v/>
      </c>
      <c r="F70" s="10"/>
      <c r="G70" s="10"/>
    </row>
    <row r="71" customFormat="false" ht="15" hidden="false" customHeight="false" outlineLevel="0" collapsed="false">
      <c r="A71" s="14" t="n">
        <f aca="false">01_Portfolio!G$5</f>
        <v>0</v>
      </c>
      <c r="B71" s="14" t="s">
        <v>170</v>
      </c>
      <c r="C71" s="20"/>
      <c r="D71" s="20"/>
      <c r="E71" s="16" t="str">
        <f aca="false">IF(C71="","",C71+N(D71))</f>
        <v/>
      </c>
      <c r="F71" s="10"/>
      <c r="G71" s="10"/>
    </row>
    <row r="72" customFormat="false" ht="15" hidden="false" customHeight="false" outlineLevel="0" collapsed="false">
      <c r="A72" s="14" t="n">
        <f aca="false">01_Portfolio!G$5</f>
        <v>0</v>
      </c>
      <c r="B72" s="14" t="s">
        <v>171</v>
      </c>
      <c r="C72" s="20"/>
      <c r="D72" s="20"/>
      <c r="E72" s="16" t="str">
        <f aca="false">IF(C72="","",C72+N(D72))</f>
        <v/>
      </c>
      <c r="F72" s="10"/>
      <c r="G72" s="10"/>
    </row>
    <row r="73" customFormat="false" ht="15" hidden="false" customHeight="false" outlineLevel="0" collapsed="false">
      <c r="A73" s="14" t="n">
        <f aca="false">01_Portfolio!G$5</f>
        <v>0</v>
      </c>
      <c r="B73" s="14" t="s">
        <v>172</v>
      </c>
      <c r="C73" s="20"/>
      <c r="D73" s="20"/>
      <c r="E73" s="16" t="str">
        <f aca="false">IF(C73="","",C73+N(D73))</f>
        <v/>
      </c>
      <c r="F73" s="10"/>
      <c r="G73" s="10"/>
    </row>
    <row r="74" customFormat="false" ht="15" hidden="false" customHeight="false" outlineLevel="0" collapsed="false">
      <c r="A74" s="14" t="n">
        <f aca="false">01_Portfolio!G$5</f>
        <v>0</v>
      </c>
      <c r="B74" s="14" t="s">
        <v>173</v>
      </c>
      <c r="C74" s="20"/>
      <c r="D74" s="20"/>
      <c r="E74" s="16" t="str">
        <f aca="false">IF(C74="","",C74+N(D74))</f>
        <v/>
      </c>
      <c r="F74" s="10"/>
      <c r="G74" s="10"/>
    </row>
    <row r="75" customFormat="false" ht="15" hidden="false" customHeight="false" outlineLevel="0" collapsed="false">
      <c r="A75" s="14" t="n">
        <f aca="false">01_Portfolio!G$5</f>
        <v>0</v>
      </c>
      <c r="B75" s="14" t="s">
        <v>174</v>
      </c>
      <c r="C75" s="20"/>
      <c r="D75" s="20"/>
      <c r="E75" s="16" t="str">
        <f aca="false">IF(C75="","",C75+N(D75))</f>
        <v/>
      </c>
      <c r="F75" s="10"/>
      <c r="G75" s="10"/>
    </row>
    <row r="76" customFormat="false" ht="15" hidden="false" customHeight="false" outlineLevel="0" collapsed="false">
      <c r="A76" s="14" t="n">
        <f aca="false">01_Portfolio!G$5</f>
        <v>0</v>
      </c>
      <c r="B76" s="14" t="s">
        <v>175</v>
      </c>
      <c r="C76" s="20"/>
      <c r="D76" s="20"/>
      <c r="E76" s="16" t="str">
        <f aca="false">IF(C76="","",C76+N(D76))</f>
        <v/>
      </c>
      <c r="F76" s="10"/>
      <c r="G76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50"/>
    <col collapsed="false" customWidth="true" hidden="false" outlineLevel="0" max="5" min="5" style="0" width="26"/>
    <col collapsed="false" customWidth="true" hidden="false" outlineLevel="0" max="6" min="6" style="0" width="20"/>
  </cols>
  <sheetData>
    <row r="1" customFormat="false" ht="30" hidden="false" customHeight="true" outlineLevel="0" collapsed="false">
      <c r="A1" s="1" t="s">
        <v>176</v>
      </c>
    </row>
    <row r="2" customFormat="false" ht="15" hidden="false" customHeight="false" outlineLevel="0" collapsed="false">
      <c r="A2" s="2" t="s">
        <v>177</v>
      </c>
    </row>
    <row r="4" customFormat="false" ht="30" hidden="false" customHeight="true" outlineLevel="0" collapsed="false">
      <c r="A4" s="6" t="s">
        <v>178</v>
      </c>
      <c r="B4" s="6" t="s">
        <v>133</v>
      </c>
      <c r="C4" s="6" t="s">
        <v>49</v>
      </c>
      <c r="D4" s="6" t="s">
        <v>179</v>
      </c>
      <c r="E4" s="6" t="s">
        <v>180</v>
      </c>
      <c r="F4" s="6" t="s">
        <v>181</v>
      </c>
    </row>
    <row r="5" customFormat="false" ht="18" hidden="false" customHeight="true" outlineLevel="0" collapsed="false">
      <c r="A5" s="21"/>
      <c r="B5" s="21"/>
      <c r="C5" s="21"/>
      <c r="D5" s="21"/>
      <c r="E5" s="21"/>
      <c r="F5" s="21"/>
    </row>
    <row r="6" customFormat="false" ht="18" hidden="false" customHeight="true" outlineLevel="0" collapsed="false">
      <c r="A6" s="21"/>
      <c r="B6" s="21"/>
      <c r="C6" s="21"/>
      <c r="D6" s="21"/>
      <c r="E6" s="21"/>
      <c r="F6" s="21"/>
    </row>
    <row r="7" customFormat="false" ht="18" hidden="false" customHeight="true" outlineLevel="0" collapsed="false">
      <c r="A7" s="21"/>
      <c r="B7" s="21"/>
      <c r="C7" s="21"/>
      <c r="D7" s="21"/>
      <c r="E7" s="21"/>
      <c r="F7" s="21"/>
    </row>
    <row r="8" customFormat="false" ht="18" hidden="false" customHeight="true" outlineLevel="0" collapsed="false">
      <c r="A8" s="21"/>
      <c r="B8" s="21"/>
      <c r="C8" s="21"/>
      <c r="D8" s="21"/>
      <c r="E8" s="21"/>
      <c r="F8" s="21"/>
    </row>
    <row r="9" customFormat="false" ht="18" hidden="false" customHeight="true" outlineLevel="0" collapsed="false">
      <c r="A9" s="21"/>
      <c r="B9" s="21"/>
      <c r="C9" s="21"/>
      <c r="D9" s="21"/>
      <c r="E9" s="21"/>
      <c r="F9" s="21"/>
    </row>
    <row r="10" customFormat="false" ht="18" hidden="false" customHeight="true" outlineLevel="0" collapsed="false">
      <c r="A10" s="21"/>
      <c r="B10" s="21"/>
      <c r="C10" s="21"/>
      <c r="D10" s="21"/>
      <c r="E10" s="21"/>
      <c r="F10" s="21"/>
    </row>
    <row r="11" customFormat="false" ht="18" hidden="false" customHeight="true" outlineLevel="0" collapsed="false">
      <c r="A11" s="21"/>
      <c r="B11" s="21"/>
      <c r="C11" s="21"/>
      <c r="D11" s="21"/>
      <c r="E11" s="21"/>
      <c r="F11" s="21"/>
    </row>
    <row r="12" customFormat="false" ht="18" hidden="false" customHeight="true" outlineLevel="0" collapsed="false">
      <c r="A12" s="21"/>
      <c r="B12" s="21"/>
      <c r="C12" s="21"/>
      <c r="D12" s="21"/>
      <c r="E12" s="21"/>
      <c r="F12" s="21"/>
    </row>
    <row r="13" customFormat="false" ht="18" hidden="false" customHeight="true" outlineLevel="0" collapsed="false">
      <c r="A13" s="21"/>
      <c r="B13" s="21"/>
      <c r="C13" s="21"/>
      <c r="D13" s="21"/>
      <c r="E13" s="21"/>
      <c r="F13" s="21"/>
    </row>
    <row r="14" customFormat="false" ht="18" hidden="false" customHeight="true" outlineLevel="0" collapsed="false">
      <c r="A14" s="21"/>
      <c r="B14" s="21"/>
      <c r="C14" s="21"/>
      <c r="D14" s="21"/>
      <c r="E14" s="21"/>
      <c r="F14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8" min="6" style="0" width="11"/>
  </cols>
  <sheetData>
    <row r="1" customFormat="false" ht="30" hidden="false" customHeight="true" outlineLevel="0" collapsed="false">
      <c r="A1" s="1" t="s">
        <v>182</v>
      </c>
    </row>
    <row r="2" customFormat="false" ht="15" hidden="false" customHeight="false" outlineLevel="0" collapsed="false">
      <c r="A2" s="2" t="s">
        <v>183</v>
      </c>
    </row>
    <row r="4" customFormat="false" ht="15" hidden="false" customHeight="false" outlineLevel="0" collapsed="false">
      <c r="J4" s="7" t="s">
        <v>184</v>
      </c>
      <c r="K4" s="22" t="n">
        <v>0.95</v>
      </c>
    </row>
    <row r="5" customFormat="false" ht="15" hidden="false" customHeight="false" outlineLevel="0" collapsed="false">
      <c r="J5" s="7" t="s">
        <v>185</v>
      </c>
      <c r="K5" s="23" t="n">
        <f aca="false">NORMSINV(K4)</f>
        <v>1.64485362695147</v>
      </c>
    </row>
    <row r="7" customFormat="false" ht="30" hidden="false" customHeight="true" outlineLevel="0" collapsed="false">
      <c r="A7" s="6" t="s">
        <v>133</v>
      </c>
      <c r="B7" s="6" t="s">
        <v>186</v>
      </c>
      <c r="C7" s="6" t="s">
        <v>129</v>
      </c>
      <c r="D7" s="6" t="s">
        <v>187</v>
      </c>
      <c r="E7" s="6" t="s">
        <v>185</v>
      </c>
      <c r="F7" s="6" t="s">
        <v>188</v>
      </c>
      <c r="G7" s="6" t="s">
        <v>189</v>
      </c>
      <c r="H7" s="6" t="s">
        <v>190</v>
      </c>
    </row>
    <row r="8" customFormat="false" ht="15" hidden="false" customHeight="false" outlineLevel="0" collapsed="false">
      <c r="A8" s="14" t="n">
        <f aca="false">01_Portfolio!B$5</f>
        <v>0</v>
      </c>
      <c r="B8" s="20"/>
      <c r="C8" s="24" t="str">
        <f aca="false">IF(A8=0,"",INDEX(Data!$B$40:$AQ$40,MATCH(A8,Data!$B$1:$AQ$1,0)))</f>
        <v/>
      </c>
      <c r="D8" s="17" t="str">
        <f aca="false">IFERROR(C8/4.33,"")</f>
        <v/>
      </c>
      <c r="E8" s="23" t="n">
        <f aca="false">$K$5</f>
        <v>1.64485362695147</v>
      </c>
      <c r="F8" s="16" t="str">
        <f aca="false">IFERROR(E8*B8*SQRT(D8),"")</f>
        <v/>
      </c>
      <c r="G8" s="16" t="str">
        <f aca="false">IFERROR(INDEX(04_DuBao_12T!$E$5:$E$76,1),"")</f>
        <v/>
      </c>
      <c r="H8" s="16" t="str">
        <f aca="false">IFERROR(G8*D8+F8,"")</f>
        <v/>
      </c>
    </row>
    <row r="9" customFormat="false" ht="15" hidden="false" customHeight="false" outlineLevel="0" collapsed="false">
      <c r="A9" s="14" t="n">
        <f aca="false">01_Portfolio!C$5</f>
        <v>0</v>
      </c>
      <c r="B9" s="20"/>
      <c r="C9" s="24" t="str">
        <f aca="false">IF(A9=0,"",INDEX(Data!$B$40:$AQ$40,MATCH(A9,Data!$B$1:$AQ$1,0)))</f>
        <v/>
      </c>
      <c r="D9" s="17" t="str">
        <f aca="false">IFERROR(C9/4.33,"")</f>
        <v/>
      </c>
      <c r="E9" s="23" t="n">
        <f aca="false">$K$5</f>
        <v>1.64485362695147</v>
      </c>
      <c r="F9" s="16" t="str">
        <f aca="false">IFERROR(E9*B9*SQRT(D9),"")</f>
        <v/>
      </c>
      <c r="G9" s="16" t="str">
        <f aca="false">IFERROR(INDEX(04_DuBao_12T!$E$5:$E$76,13),"")</f>
        <v/>
      </c>
      <c r="H9" s="16" t="str">
        <f aca="false">IFERROR(G9*D9+F9,"")</f>
        <v/>
      </c>
    </row>
    <row r="10" customFormat="false" ht="15" hidden="false" customHeight="false" outlineLevel="0" collapsed="false">
      <c r="A10" s="14" t="n">
        <f aca="false">01_Portfolio!D$5</f>
        <v>0</v>
      </c>
      <c r="B10" s="20"/>
      <c r="C10" s="24" t="str">
        <f aca="false">IF(A10=0,"",INDEX(Data!$B$40:$AQ$40,MATCH(A10,Data!$B$1:$AQ$1,0)))</f>
        <v/>
      </c>
      <c r="D10" s="17" t="str">
        <f aca="false">IFERROR(C10/4.33,"")</f>
        <v/>
      </c>
      <c r="E10" s="23" t="n">
        <f aca="false">$K$5</f>
        <v>1.64485362695147</v>
      </c>
      <c r="F10" s="16" t="str">
        <f aca="false">IFERROR(E10*B10*SQRT(D10),"")</f>
        <v/>
      </c>
      <c r="G10" s="16" t="str">
        <f aca="false">IFERROR(INDEX(04_DuBao_12T!$E$5:$E$76,25),"")</f>
        <v/>
      </c>
      <c r="H10" s="16" t="str">
        <f aca="false">IFERROR(G10*D10+F10,"")</f>
        <v/>
      </c>
    </row>
    <row r="11" customFormat="false" ht="15" hidden="false" customHeight="false" outlineLevel="0" collapsed="false">
      <c r="A11" s="14" t="n">
        <f aca="false">01_Portfolio!E$5</f>
        <v>0</v>
      </c>
      <c r="B11" s="20"/>
      <c r="C11" s="24" t="str">
        <f aca="false">IF(A11=0,"",INDEX(Data!$B$40:$AQ$40,MATCH(A11,Data!$B$1:$AQ$1,0)))</f>
        <v/>
      </c>
      <c r="D11" s="17" t="str">
        <f aca="false">IFERROR(C11/4.33,"")</f>
        <v/>
      </c>
      <c r="E11" s="23" t="n">
        <f aca="false">$K$5</f>
        <v>1.64485362695147</v>
      </c>
      <c r="F11" s="16" t="str">
        <f aca="false">IFERROR(E11*B11*SQRT(D11),"")</f>
        <v/>
      </c>
      <c r="G11" s="16" t="str">
        <f aca="false">IFERROR(INDEX(04_DuBao_12T!$E$5:$E$76,37),"")</f>
        <v/>
      </c>
      <c r="H11" s="16" t="str">
        <f aca="false">IFERROR(G11*D11+F11,"")</f>
        <v/>
      </c>
    </row>
    <row r="12" customFormat="false" ht="15" hidden="false" customHeight="false" outlineLevel="0" collapsed="false">
      <c r="A12" s="14" t="n">
        <f aca="false">01_Portfolio!F$5</f>
        <v>0</v>
      </c>
      <c r="B12" s="20"/>
      <c r="C12" s="24" t="str">
        <f aca="false">IF(A12=0,"",INDEX(Data!$B$40:$AQ$40,MATCH(A12,Data!$B$1:$AQ$1,0)))</f>
        <v/>
      </c>
      <c r="D12" s="17" t="str">
        <f aca="false">IFERROR(C12/4.33,"")</f>
        <v/>
      </c>
      <c r="E12" s="23" t="n">
        <f aca="false">$K$5</f>
        <v>1.64485362695147</v>
      </c>
      <c r="F12" s="16" t="str">
        <f aca="false">IFERROR(E12*B12*SQRT(D12),"")</f>
        <v/>
      </c>
      <c r="G12" s="16" t="str">
        <f aca="false">IFERROR(INDEX(04_DuBao_12T!$E$5:$E$76,49),"")</f>
        <v/>
      </c>
      <c r="H12" s="16" t="str">
        <f aca="false">IFERROR(G12*D12+F12,"")</f>
        <v/>
      </c>
    </row>
    <row r="13" customFormat="false" ht="15" hidden="false" customHeight="false" outlineLevel="0" collapsed="false">
      <c r="A13" s="14" t="n">
        <f aca="false">01_Portfolio!G$5</f>
        <v>0</v>
      </c>
      <c r="B13" s="20"/>
      <c r="C13" s="24" t="str">
        <f aca="false">IF(A13=0,"",INDEX(Data!$B$40:$AQ$40,MATCH(A13,Data!$B$1:$AQ$1,0)))</f>
        <v/>
      </c>
      <c r="D13" s="17" t="str">
        <f aca="false">IFERROR(C13/4.33,"")</f>
        <v/>
      </c>
      <c r="E13" s="23" t="n">
        <f aca="false">$K$5</f>
        <v>1.64485362695147</v>
      </c>
      <c r="F13" s="16" t="str">
        <f aca="false">IFERROR(E13*B13*SQRT(D13),"")</f>
        <v/>
      </c>
      <c r="G13" s="16" t="str">
        <f aca="false">IFERROR(INDEX(04_DuBao_12T!$E$5:$E$76,61),"")</f>
        <v/>
      </c>
      <c r="H13" s="16" t="str">
        <f aca="false">IFERROR(G13*D13+F13,"")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36"/>
  </cols>
  <sheetData>
    <row r="1" customFormat="false" ht="30" hidden="false" customHeight="true" outlineLevel="0" collapsed="false">
      <c r="A1" s="1" t="s">
        <v>191</v>
      </c>
    </row>
    <row r="2" customFormat="false" ht="15" hidden="false" customHeight="false" outlineLevel="0" collapsed="false">
      <c r="A2" s="2" t="s">
        <v>192</v>
      </c>
    </row>
    <row r="4" customFormat="false" ht="30" hidden="false" customHeight="true" outlineLevel="0" collapsed="false">
      <c r="A4" s="6" t="s">
        <v>133</v>
      </c>
      <c r="B4" s="6" t="s">
        <v>49</v>
      </c>
      <c r="C4" s="6" t="s">
        <v>193</v>
      </c>
      <c r="D4" s="6" t="s">
        <v>186</v>
      </c>
      <c r="E4" s="6" t="s">
        <v>194</v>
      </c>
      <c r="F4" s="6" t="s">
        <v>195</v>
      </c>
    </row>
    <row r="5" customFormat="false" ht="15" hidden="false" customHeight="false" outlineLevel="0" collapsed="false">
      <c r="A5" s="14" t="n">
        <f aca="false">04_DuBao_12T!A5</f>
        <v>0</v>
      </c>
      <c r="B5" s="14" t="str">
        <f aca="false">04_DuBao_12T!B5</f>
        <v>2026-10</v>
      </c>
      <c r="C5" s="16" t="str">
        <f aca="false">04_DuBao_12T!E5</f>
        <v/>
      </c>
      <c r="D5" s="16" t="n">
        <f aca="false">06_TonKho!B8</f>
        <v>0</v>
      </c>
      <c r="E5" s="16" t="str">
        <f aca="false">06_TonKho!F8</f>
        <v/>
      </c>
      <c r="F5" s="14" t="str">
        <f aca="false">IF(04_DuBao_12T!F5="","",04_DuBao_12T!F5&amp;" "&amp;04_DuBao_12T!G5)</f>
        <v/>
      </c>
    </row>
    <row r="6" customFormat="false" ht="15" hidden="false" customHeight="false" outlineLevel="0" collapsed="false">
      <c r="A6" s="14" t="n">
        <f aca="false">04_DuBao_12T!A6</f>
        <v>0</v>
      </c>
      <c r="B6" s="14" t="str">
        <f aca="false">04_DuBao_12T!B6</f>
        <v>2026-11</v>
      </c>
      <c r="C6" s="16" t="str">
        <f aca="false">04_DuBao_12T!E6</f>
        <v/>
      </c>
      <c r="D6" s="16" t="n">
        <f aca="false">06_TonKho!B8</f>
        <v>0</v>
      </c>
      <c r="E6" s="16" t="str">
        <f aca="false">06_TonKho!F8</f>
        <v/>
      </c>
      <c r="F6" s="14" t="str">
        <f aca="false">IF(04_DuBao_12T!F6="","",04_DuBao_12T!F6&amp;" "&amp;04_DuBao_12T!G6)</f>
        <v/>
      </c>
    </row>
    <row r="7" customFormat="false" ht="15" hidden="false" customHeight="false" outlineLevel="0" collapsed="false">
      <c r="A7" s="14" t="n">
        <f aca="false">04_DuBao_12T!A7</f>
        <v>0</v>
      </c>
      <c r="B7" s="14" t="str">
        <f aca="false">04_DuBao_12T!B7</f>
        <v>2026-12</v>
      </c>
      <c r="C7" s="16" t="str">
        <f aca="false">04_DuBao_12T!E7</f>
        <v/>
      </c>
      <c r="D7" s="16" t="n">
        <f aca="false">06_TonKho!B8</f>
        <v>0</v>
      </c>
      <c r="E7" s="16" t="str">
        <f aca="false">06_TonKho!F8</f>
        <v/>
      </c>
      <c r="F7" s="14" t="str">
        <f aca="false">IF(04_DuBao_12T!F7="","",04_DuBao_12T!F7&amp;" "&amp;04_DuBao_12T!G7)</f>
        <v/>
      </c>
    </row>
    <row r="8" customFormat="false" ht="15" hidden="false" customHeight="false" outlineLevel="0" collapsed="false">
      <c r="A8" s="14" t="n">
        <f aca="false">04_DuBao_12T!A8</f>
        <v>0</v>
      </c>
      <c r="B8" s="14" t="str">
        <f aca="false">04_DuBao_12T!B8</f>
        <v>2027-01</v>
      </c>
      <c r="C8" s="16" t="str">
        <f aca="false">04_DuBao_12T!E8</f>
        <v/>
      </c>
      <c r="D8" s="16" t="n">
        <f aca="false">06_TonKho!B8</f>
        <v>0</v>
      </c>
      <c r="E8" s="16" t="str">
        <f aca="false">06_TonKho!F8</f>
        <v/>
      </c>
      <c r="F8" s="14" t="str">
        <f aca="false">IF(04_DuBao_12T!F8="","",04_DuBao_12T!F8&amp;" "&amp;04_DuBao_12T!G8)</f>
        <v/>
      </c>
    </row>
    <row r="9" customFormat="false" ht="15" hidden="false" customHeight="false" outlineLevel="0" collapsed="false">
      <c r="A9" s="14" t="n">
        <f aca="false">04_DuBao_12T!A9</f>
        <v>0</v>
      </c>
      <c r="B9" s="14" t="str">
        <f aca="false">04_DuBao_12T!B9</f>
        <v>2027-02</v>
      </c>
      <c r="C9" s="16" t="str">
        <f aca="false">04_DuBao_12T!E9</f>
        <v/>
      </c>
      <c r="D9" s="16" t="n">
        <f aca="false">06_TonKho!B8</f>
        <v>0</v>
      </c>
      <c r="E9" s="16" t="str">
        <f aca="false">06_TonKho!F8</f>
        <v/>
      </c>
      <c r="F9" s="14" t="str">
        <f aca="false">IF(04_DuBao_12T!F9="","",04_DuBao_12T!F9&amp;" "&amp;04_DuBao_12T!G9)</f>
        <v/>
      </c>
    </row>
    <row r="10" customFormat="false" ht="15" hidden="false" customHeight="false" outlineLevel="0" collapsed="false">
      <c r="A10" s="14" t="n">
        <f aca="false">04_DuBao_12T!A10</f>
        <v>0</v>
      </c>
      <c r="B10" s="14" t="str">
        <f aca="false">04_DuBao_12T!B10</f>
        <v>2027-03</v>
      </c>
      <c r="C10" s="16" t="str">
        <f aca="false">04_DuBao_12T!E10</f>
        <v/>
      </c>
      <c r="D10" s="16" t="n">
        <f aca="false">06_TonKho!B8</f>
        <v>0</v>
      </c>
      <c r="E10" s="16" t="str">
        <f aca="false">06_TonKho!F8</f>
        <v/>
      </c>
      <c r="F10" s="14" t="str">
        <f aca="false">IF(04_DuBao_12T!F10="","",04_DuBao_12T!F10&amp;" "&amp;04_DuBao_12T!G10)</f>
        <v/>
      </c>
    </row>
    <row r="11" customFormat="false" ht="15" hidden="false" customHeight="false" outlineLevel="0" collapsed="false">
      <c r="A11" s="14" t="n">
        <f aca="false">04_DuBao_12T!A11</f>
        <v>0</v>
      </c>
      <c r="B11" s="14" t="str">
        <f aca="false">04_DuBao_12T!B11</f>
        <v>2027-04</v>
      </c>
      <c r="C11" s="16" t="str">
        <f aca="false">04_DuBao_12T!E11</f>
        <v/>
      </c>
      <c r="D11" s="16" t="n">
        <f aca="false">06_TonKho!B8</f>
        <v>0</v>
      </c>
      <c r="E11" s="16" t="str">
        <f aca="false">06_TonKho!F8</f>
        <v/>
      </c>
      <c r="F11" s="14" t="str">
        <f aca="false">IF(04_DuBao_12T!F11="","",04_DuBao_12T!F11&amp;" "&amp;04_DuBao_12T!G11)</f>
        <v/>
      </c>
    </row>
    <row r="12" customFormat="false" ht="15" hidden="false" customHeight="false" outlineLevel="0" collapsed="false">
      <c r="A12" s="14" t="n">
        <f aca="false">04_DuBao_12T!A12</f>
        <v>0</v>
      </c>
      <c r="B12" s="14" t="str">
        <f aca="false">04_DuBao_12T!B12</f>
        <v>2027-05</v>
      </c>
      <c r="C12" s="16" t="str">
        <f aca="false">04_DuBao_12T!E12</f>
        <v/>
      </c>
      <c r="D12" s="16" t="n">
        <f aca="false">06_TonKho!B8</f>
        <v>0</v>
      </c>
      <c r="E12" s="16" t="str">
        <f aca="false">06_TonKho!F8</f>
        <v/>
      </c>
      <c r="F12" s="14" t="str">
        <f aca="false">IF(04_DuBao_12T!F12="","",04_DuBao_12T!F12&amp;" "&amp;04_DuBao_12T!G12)</f>
        <v/>
      </c>
    </row>
    <row r="13" customFormat="false" ht="15" hidden="false" customHeight="false" outlineLevel="0" collapsed="false">
      <c r="A13" s="14" t="n">
        <f aca="false">04_DuBao_12T!A13</f>
        <v>0</v>
      </c>
      <c r="B13" s="14" t="str">
        <f aca="false">04_DuBao_12T!B13</f>
        <v>2027-06</v>
      </c>
      <c r="C13" s="16" t="str">
        <f aca="false">04_DuBao_12T!E13</f>
        <v/>
      </c>
      <c r="D13" s="16" t="n">
        <f aca="false">06_TonKho!B8</f>
        <v>0</v>
      </c>
      <c r="E13" s="16" t="str">
        <f aca="false">06_TonKho!F8</f>
        <v/>
      </c>
      <c r="F13" s="14" t="str">
        <f aca="false">IF(04_DuBao_12T!F13="","",04_DuBao_12T!F13&amp;" "&amp;04_DuBao_12T!G13)</f>
        <v/>
      </c>
    </row>
    <row r="14" customFormat="false" ht="15" hidden="false" customHeight="false" outlineLevel="0" collapsed="false">
      <c r="A14" s="14" t="n">
        <f aca="false">04_DuBao_12T!A14</f>
        <v>0</v>
      </c>
      <c r="B14" s="14" t="str">
        <f aca="false">04_DuBao_12T!B14</f>
        <v>2027-07</v>
      </c>
      <c r="C14" s="16" t="str">
        <f aca="false">04_DuBao_12T!E14</f>
        <v/>
      </c>
      <c r="D14" s="16" t="n">
        <f aca="false">06_TonKho!B8</f>
        <v>0</v>
      </c>
      <c r="E14" s="16" t="str">
        <f aca="false">06_TonKho!F8</f>
        <v/>
      </c>
      <c r="F14" s="14" t="str">
        <f aca="false">IF(04_DuBao_12T!F14="","",04_DuBao_12T!F14&amp;" "&amp;04_DuBao_12T!G14)</f>
        <v/>
      </c>
    </row>
    <row r="15" customFormat="false" ht="15" hidden="false" customHeight="false" outlineLevel="0" collapsed="false">
      <c r="A15" s="14" t="n">
        <f aca="false">04_DuBao_12T!A15</f>
        <v>0</v>
      </c>
      <c r="B15" s="14" t="str">
        <f aca="false">04_DuBao_12T!B15</f>
        <v>2027-08</v>
      </c>
      <c r="C15" s="16" t="str">
        <f aca="false">04_DuBao_12T!E15</f>
        <v/>
      </c>
      <c r="D15" s="16" t="n">
        <f aca="false">06_TonKho!B8</f>
        <v>0</v>
      </c>
      <c r="E15" s="16" t="str">
        <f aca="false">06_TonKho!F8</f>
        <v/>
      </c>
      <c r="F15" s="14" t="str">
        <f aca="false">IF(04_DuBao_12T!F15="","",04_DuBao_12T!F15&amp;" "&amp;04_DuBao_12T!G15)</f>
        <v/>
      </c>
    </row>
    <row r="16" customFormat="false" ht="15" hidden="false" customHeight="false" outlineLevel="0" collapsed="false">
      <c r="A16" s="14" t="n">
        <f aca="false">04_DuBao_12T!A16</f>
        <v>0</v>
      </c>
      <c r="B16" s="14" t="str">
        <f aca="false">04_DuBao_12T!B16</f>
        <v>2027-09</v>
      </c>
      <c r="C16" s="16" t="str">
        <f aca="false">04_DuBao_12T!E16</f>
        <v/>
      </c>
      <c r="D16" s="16" t="n">
        <f aca="false">06_TonKho!B8</f>
        <v>0</v>
      </c>
      <c r="E16" s="16" t="str">
        <f aca="false">06_TonKho!F8</f>
        <v/>
      </c>
      <c r="F16" s="14" t="str">
        <f aca="false">IF(04_DuBao_12T!F16="","",04_DuBao_12T!F16&amp;" "&amp;04_DuBao_12T!G16)</f>
        <v/>
      </c>
    </row>
    <row r="17" customFormat="false" ht="15" hidden="false" customHeight="false" outlineLevel="0" collapsed="false">
      <c r="A17" s="14" t="n">
        <f aca="false">04_DuBao_12T!A17</f>
        <v>0</v>
      </c>
      <c r="B17" s="14" t="str">
        <f aca="false">04_DuBao_12T!B17</f>
        <v>2026-10</v>
      </c>
      <c r="C17" s="16" t="str">
        <f aca="false">04_DuBao_12T!E17</f>
        <v/>
      </c>
      <c r="D17" s="16" t="n">
        <f aca="false">06_TonKho!B9</f>
        <v>0</v>
      </c>
      <c r="E17" s="16" t="str">
        <f aca="false">06_TonKho!F9</f>
        <v/>
      </c>
      <c r="F17" s="14" t="str">
        <f aca="false">IF(04_DuBao_12T!F17="","",04_DuBao_12T!F17&amp;" "&amp;04_DuBao_12T!G17)</f>
        <v/>
      </c>
    </row>
    <row r="18" customFormat="false" ht="15" hidden="false" customHeight="false" outlineLevel="0" collapsed="false">
      <c r="A18" s="14" t="n">
        <f aca="false">04_DuBao_12T!A18</f>
        <v>0</v>
      </c>
      <c r="B18" s="14" t="str">
        <f aca="false">04_DuBao_12T!B18</f>
        <v>2026-11</v>
      </c>
      <c r="C18" s="16" t="str">
        <f aca="false">04_DuBao_12T!E18</f>
        <v/>
      </c>
      <c r="D18" s="16" t="n">
        <f aca="false">06_TonKho!B9</f>
        <v>0</v>
      </c>
      <c r="E18" s="16" t="str">
        <f aca="false">06_TonKho!F9</f>
        <v/>
      </c>
      <c r="F18" s="14" t="str">
        <f aca="false">IF(04_DuBao_12T!F18="","",04_DuBao_12T!F18&amp;" "&amp;04_DuBao_12T!G18)</f>
        <v/>
      </c>
    </row>
    <row r="19" customFormat="false" ht="15" hidden="false" customHeight="false" outlineLevel="0" collapsed="false">
      <c r="A19" s="14" t="n">
        <f aca="false">04_DuBao_12T!A19</f>
        <v>0</v>
      </c>
      <c r="B19" s="14" t="str">
        <f aca="false">04_DuBao_12T!B19</f>
        <v>2026-12</v>
      </c>
      <c r="C19" s="16" t="str">
        <f aca="false">04_DuBao_12T!E19</f>
        <v/>
      </c>
      <c r="D19" s="16" t="n">
        <f aca="false">06_TonKho!B9</f>
        <v>0</v>
      </c>
      <c r="E19" s="16" t="str">
        <f aca="false">06_TonKho!F9</f>
        <v/>
      </c>
      <c r="F19" s="14" t="str">
        <f aca="false">IF(04_DuBao_12T!F19="","",04_DuBao_12T!F19&amp;" "&amp;04_DuBao_12T!G19)</f>
        <v/>
      </c>
    </row>
    <row r="20" customFormat="false" ht="15" hidden="false" customHeight="false" outlineLevel="0" collapsed="false">
      <c r="A20" s="14" t="n">
        <f aca="false">04_DuBao_12T!A20</f>
        <v>0</v>
      </c>
      <c r="B20" s="14" t="str">
        <f aca="false">04_DuBao_12T!B20</f>
        <v>2027-01</v>
      </c>
      <c r="C20" s="16" t="str">
        <f aca="false">04_DuBao_12T!E20</f>
        <v/>
      </c>
      <c r="D20" s="16" t="n">
        <f aca="false">06_TonKho!B9</f>
        <v>0</v>
      </c>
      <c r="E20" s="16" t="str">
        <f aca="false">06_TonKho!F9</f>
        <v/>
      </c>
      <c r="F20" s="14" t="str">
        <f aca="false">IF(04_DuBao_12T!F20="","",04_DuBao_12T!F20&amp;" "&amp;04_DuBao_12T!G20)</f>
        <v/>
      </c>
    </row>
    <row r="21" customFormat="false" ht="15" hidden="false" customHeight="false" outlineLevel="0" collapsed="false">
      <c r="A21" s="14" t="n">
        <f aca="false">04_DuBao_12T!A21</f>
        <v>0</v>
      </c>
      <c r="B21" s="14" t="str">
        <f aca="false">04_DuBao_12T!B21</f>
        <v>2027-02</v>
      </c>
      <c r="C21" s="16" t="str">
        <f aca="false">04_DuBao_12T!E21</f>
        <v/>
      </c>
      <c r="D21" s="16" t="n">
        <f aca="false">06_TonKho!B9</f>
        <v>0</v>
      </c>
      <c r="E21" s="16" t="str">
        <f aca="false">06_TonKho!F9</f>
        <v/>
      </c>
      <c r="F21" s="14" t="str">
        <f aca="false">IF(04_DuBao_12T!F21="","",04_DuBao_12T!F21&amp;" "&amp;04_DuBao_12T!G21)</f>
        <v/>
      </c>
    </row>
    <row r="22" customFormat="false" ht="15" hidden="false" customHeight="false" outlineLevel="0" collapsed="false">
      <c r="A22" s="14" t="n">
        <f aca="false">04_DuBao_12T!A22</f>
        <v>0</v>
      </c>
      <c r="B22" s="14" t="str">
        <f aca="false">04_DuBao_12T!B22</f>
        <v>2027-03</v>
      </c>
      <c r="C22" s="16" t="str">
        <f aca="false">04_DuBao_12T!E22</f>
        <v/>
      </c>
      <c r="D22" s="16" t="n">
        <f aca="false">06_TonKho!B9</f>
        <v>0</v>
      </c>
      <c r="E22" s="16" t="str">
        <f aca="false">06_TonKho!F9</f>
        <v/>
      </c>
      <c r="F22" s="14" t="str">
        <f aca="false">IF(04_DuBao_12T!F22="","",04_DuBao_12T!F22&amp;" "&amp;04_DuBao_12T!G22)</f>
        <v/>
      </c>
    </row>
    <row r="23" customFormat="false" ht="15" hidden="false" customHeight="false" outlineLevel="0" collapsed="false">
      <c r="A23" s="14" t="n">
        <f aca="false">04_DuBao_12T!A23</f>
        <v>0</v>
      </c>
      <c r="B23" s="14" t="str">
        <f aca="false">04_DuBao_12T!B23</f>
        <v>2027-04</v>
      </c>
      <c r="C23" s="16" t="str">
        <f aca="false">04_DuBao_12T!E23</f>
        <v/>
      </c>
      <c r="D23" s="16" t="n">
        <f aca="false">06_TonKho!B9</f>
        <v>0</v>
      </c>
      <c r="E23" s="16" t="str">
        <f aca="false">06_TonKho!F9</f>
        <v/>
      </c>
      <c r="F23" s="14" t="str">
        <f aca="false">IF(04_DuBao_12T!F23="","",04_DuBao_12T!F23&amp;" "&amp;04_DuBao_12T!G23)</f>
        <v/>
      </c>
    </row>
    <row r="24" customFormat="false" ht="15" hidden="false" customHeight="false" outlineLevel="0" collapsed="false">
      <c r="A24" s="14" t="n">
        <f aca="false">04_DuBao_12T!A24</f>
        <v>0</v>
      </c>
      <c r="B24" s="14" t="str">
        <f aca="false">04_DuBao_12T!B24</f>
        <v>2027-05</v>
      </c>
      <c r="C24" s="16" t="str">
        <f aca="false">04_DuBao_12T!E24</f>
        <v/>
      </c>
      <c r="D24" s="16" t="n">
        <f aca="false">06_TonKho!B9</f>
        <v>0</v>
      </c>
      <c r="E24" s="16" t="str">
        <f aca="false">06_TonKho!F9</f>
        <v/>
      </c>
      <c r="F24" s="14" t="str">
        <f aca="false">IF(04_DuBao_12T!F24="","",04_DuBao_12T!F24&amp;" "&amp;04_DuBao_12T!G24)</f>
        <v/>
      </c>
    </row>
    <row r="25" customFormat="false" ht="15" hidden="false" customHeight="false" outlineLevel="0" collapsed="false">
      <c r="A25" s="14" t="n">
        <f aca="false">04_DuBao_12T!A25</f>
        <v>0</v>
      </c>
      <c r="B25" s="14" t="str">
        <f aca="false">04_DuBao_12T!B25</f>
        <v>2027-06</v>
      </c>
      <c r="C25" s="16" t="str">
        <f aca="false">04_DuBao_12T!E25</f>
        <v/>
      </c>
      <c r="D25" s="16" t="n">
        <f aca="false">06_TonKho!B9</f>
        <v>0</v>
      </c>
      <c r="E25" s="16" t="str">
        <f aca="false">06_TonKho!F9</f>
        <v/>
      </c>
      <c r="F25" s="14" t="str">
        <f aca="false">IF(04_DuBao_12T!F25="","",04_DuBao_12T!F25&amp;" "&amp;04_DuBao_12T!G25)</f>
        <v/>
      </c>
    </row>
    <row r="26" customFormat="false" ht="15" hidden="false" customHeight="false" outlineLevel="0" collapsed="false">
      <c r="A26" s="14" t="n">
        <f aca="false">04_DuBao_12T!A26</f>
        <v>0</v>
      </c>
      <c r="B26" s="14" t="str">
        <f aca="false">04_DuBao_12T!B26</f>
        <v>2027-07</v>
      </c>
      <c r="C26" s="16" t="str">
        <f aca="false">04_DuBao_12T!E26</f>
        <v/>
      </c>
      <c r="D26" s="16" t="n">
        <f aca="false">06_TonKho!B9</f>
        <v>0</v>
      </c>
      <c r="E26" s="16" t="str">
        <f aca="false">06_TonKho!F9</f>
        <v/>
      </c>
      <c r="F26" s="14" t="str">
        <f aca="false">IF(04_DuBao_12T!F26="","",04_DuBao_12T!F26&amp;" "&amp;04_DuBao_12T!G26)</f>
        <v/>
      </c>
    </row>
    <row r="27" customFormat="false" ht="15" hidden="false" customHeight="false" outlineLevel="0" collapsed="false">
      <c r="A27" s="14" t="n">
        <f aca="false">04_DuBao_12T!A27</f>
        <v>0</v>
      </c>
      <c r="B27" s="14" t="str">
        <f aca="false">04_DuBao_12T!B27</f>
        <v>2027-08</v>
      </c>
      <c r="C27" s="16" t="str">
        <f aca="false">04_DuBao_12T!E27</f>
        <v/>
      </c>
      <c r="D27" s="16" t="n">
        <f aca="false">06_TonKho!B9</f>
        <v>0</v>
      </c>
      <c r="E27" s="16" t="str">
        <f aca="false">06_TonKho!F9</f>
        <v/>
      </c>
      <c r="F27" s="14" t="str">
        <f aca="false">IF(04_DuBao_12T!F27="","",04_DuBao_12T!F27&amp;" "&amp;04_DuBao_12T!G27)</f>
        <v/>
      </c>
    </row>
    <row r="28" customFormat="false" ht="15" hidden="false" customHeight="false" outlineLevel="0" collapsed="false">
      <c r="A28" s="14" t="n">
        <f aca="false">04_DuBao_12T!A28</f>
        <v>0</v>
      </c>
      <c r="B28" s="14" t="str">
        <f aca="false">04_DuBao_12T!B28</f>
        <v>2027-09</v>
      </c>
      <c r="C28" s="16" t="str">
        <f aca="false">04_DuBao_12T!E28</f>
        <v/>
      </c>
      <c r="D28" s="16" t="n">
        <f aca="false">06_TonKho!B9</f>
        <v>0</v>
      </c>
      <c r="E28" s="16" t="str">
        <f aca="false">06_TonKho!F9</f>
        <v/>
      </c>
      <c r="F28" s="14" t="str">
        <f aca="false">IF(04_DuBao_12T!F28="","",04_DuBao_12T!F28&amp;" "&amp;04_DuBao_12T!G28)</f>
        <v/>
      </c>
    </row>
    <row r="29" customFormat="false" ht="15" hidden="false" customHeight="false" outlineLevel="0" collapsed="false">
      <c r="A29" s="14" t="n">
        <f aca="false">04_DuBao_12T!A29</f>
        <v>0</v>
      </c>
      <c r="B29" s="14" t="str">
        <f aca="false">04_DuBao_12T!B29</f>
        <v>2026-10</v>
      </c>
      <c r="C29" s="16" t="str">
        <f aca="false">04_DuBao_12T!E29</f>
        <v/>
      </c>
      <c r="D29" s="16" t="n">
        <f aca="false">06_TonKho!B10</f>
        <v>0</v>
      </c>
      <c r="E29" s="16" t="str">
        <f aca="false">06_TonKho!F10</f>
        <v/>
      </c>
      <c r="F29" s="14" t="str">
        <f aca="false">IF(04_DuBao_12T!F29="","",04_DuBao_12T!F29&amp;" "&amp;04_DuBao_12T!G29)</f>
        <v/>
      </c>
    </row>
    <row r="30" customFormat="false" ht="15" hidden="false" customHeight="false" outlineLevel="0" collapsed="false">
      <c r="A30" s="14" t="n">
        <f aca="false">04_DuBao_12T!A30</f>
        <v>0</v>
      </c>
      <c r="B30" s="14" t="str">
        <f aca="false">04_DuBao_12T!B30</f>
        <v>2026-11</v>
      </c>
      <c r="C30" s="16" t="str">
        <f aca="false">04_DuBao_12T!E30</f>
        <v/>
      </c>
      <c r="D30" s="16" t="n">
        <f aca="false">06_TonKho!B10</f>
        <v>0</v>
      </c>
      <c r="E30" s="16" t="str">
        <f aca="false">06_TonKho!F10</f>
        <v/>
      </c>
      <c r="F30" s="14" t="str">
        <f aca="false">IF(04_DuBao_12T!F30="","",04_DuBao_12T!F30&amp;" "&amp;04_DuBao_12T!G30)</f>
        <v/>
      </c>
    </row>
    <row r="31" customFormat="false" ht="15" hidden="false" customHeight="false" outlineLevel="0" collapsed="false">
      <c r="A31" s="14" t="n">
        <f aca="false">04_DuBao_12T!A31</f>
        <v>0</v>
      </c>
      <c r="B31" s="14" t="str">
        <f aca="false">04_DuBao_12T!B31</f>
        <v>2026-12</v>
      </c>
      <c r="C31" s="16" t="str">
        <f aca="false">04_DuBao_12T!E31</f>
        <v/>
      </c>
      <c r="D31" s="16" t="n">
        <f aca="false">06_TonKho!B10</f>
        <v>0</v>
      </c>
      <c r="E31" s="16" t="str">
        <f aca="false">06_TonKho!F10</f>
        <v/>
      </c>
      <c r="F31" s="14" t="str">
        <f aca="false">IF(04_DuBao_12T!F31="","",04_DuBao_12T!F31&amp;" "&amp;04_DuBao_12T!G31)</f>
        <v/>
      </c>
    </row>
    <row r="32" customFormat="false" ht="15" hidden="false" customHeight="false" outlineLevel="0" collapsed="false">
      <c r="A32" s="14" t="n">
        <f aca="false">04_DuBao_12T!A32</f>
        <v>0</v>
      </c>
      <c r="B32" s="14" t="str">
        <f aca="false">04_DuBao_12T!B32</f>
        <v>2027-01</v>
      </c>
      <c r="C32" s="16" t="str">
        <f aca="false">04_DuBao_12T!E32</f>
        <v/>
      </c>
      <c r="D32" s="16" t="n">
        <f aca="false">06_TonKho!B10</f>
        <v>0</v>
      </c>
      <c r="E32" s="16" t="str">
        <f aca="false">06_TonKho!F10</f>
        <v/>
      </c>
      <c r="F32" s="14" t="str">
        <f aca="false">IF(04_DuBao_12T!F32="","",04_DuBao_12T!F32&amp;" "&amp;04_DuBao_12T!G32)</f>
        <v/>
      </c>
    </row>
    <row r="33" customFormat="false" ht="15" hidden="false" customHeight="false" outlineLevel="0" collapsed="false">
      <c r="A33" s="14" t="n">
        <f aca="false">04_DuBao_12T!A33</f>
        <v>0</v>
      </c>
      <c r="B33" s="14" t="str">
        <f aca="false">04_DuBao_12T!B33</f>
        <v>2027-02</v>
      </c>
      <c r="C33" s="16" t="str">
        <f aca="false">04_DuBao_12T!E33</f>
        <v/>
      </c>
      <c r="D33" s="16" t="n">
        <f aca="false">06_TonKho!B10</f>
        <v>0</v>
      </c>
      <c r="E33" s="16" t="str">
        <f aca="false">06_TonKho!F10</f>
        <v/>
      </c>
      <c r="F33" s="14" t="str">
        <f aca="false">IF(04_DuBao_12T!F33="","",04_DuBao_12T!F33&amp;" "&amp;04_DuBao_12T!G33)</f>
        <v/>
      </c>
    </row>
    <row r="34" customFormat="false" ht="15" hidden="false" customHeight="false" outlineLevel="0" collapsed="false">
      <c r="A34" s="14" t="n">
        <f aca="false">04_DuBao_12T!A34</f>
        <v>0</v>
      </c>
      <c r="B34" s="14" t="str">
        <f aca="false">04_DuBao_12T!B34</f>
        <v>2027-03</v>
      </c>
      <c r="C34" s="16" t="str">
        <f aca="false">04_DuBao_12T!E34</f>
        <v/>
      </c>
      <c r="D34" s="16" t="n">
        <f aca="false">06_TonKho!B10</f>
        <v>0</v>
      </c>
      <c r="E34" s="16" t="str">
        <f aca="false">06_TonKho!F10</f>
        <v/>
      </c>
      <c r="F34" s="14" t="str">
        <f aca="false">IF(04_DuBao_12T!F34="","",04_DuBao_12T!F34&amp;" "&amp;04_DuBao_12T!G34)</f>
        <v/>
      </c>
    </row>
    <row r="35" customFormat="false" ht="15" hidden="false" customHeight="false" outlineLevel="0" collapsed="false">
      <c r="A35" s="14" t="n">
        <f aca="false">04_DuBao_12T!A35</f>
        <v>0</v>
      </c>
      <c r="B35" s="14" t="str">
        <f aca="false">04_DuBao_12T!B35</f>
        <v>2027-04</v>
      </c>
      <c r="C35" s="16" t="str">
        <f aca="false">04_DuBao_12T!E35</f>
        <v/>
      </c>
      <c r="D35" s="16" t="n">
        <f aca="false">06_TonKho!B10</f>
        <v>0</v>
      </c>
      <c r="E35" s="16" t="str">
        <f aca="false">06_TonKho!F10</f>
        <v/>
      </c>
      <c r="F35" s="14" t="str">
        <f aca="false">IF(04_DuBao_12T!F35="","",04_DuBao_12T!F35&amp;" "&amp;04_DuBao_12T!G35)</f>
        <v/>
      </c>
    </row>
    <row r="36" customFormat="false" ht="15" hidden="false" customHeight="false" outlineLevel="0" collapsed="false">
      <c r="A36" s="14" t="n">
        <f aca="false">04_DuBao_12T!A36</f>
        <v>0</v>
      </c>
      <c r="B36" s="14" t="str">
        <f aca="false">04_DuBao_12T!B36</f>
        <v>2027-05</v>
      </c>
      <c r="C36" s="16" t="str">
        <f aca="false">04_DuBao_12T!E36</f>
        <v/>
      </c>
      <c r="D36" s="16" t="n">
        <f aca="false">06_TonKho!B10</f>
        <v>0</v>
      </c>
      <c r="E36" s="16" t="str">
        <f aca="false">06_TonKho!F10</f>
        <v/>
      </c>
      <c r="F36" s="14" t="str">
        <f aca="false">IF(04_DuBao_12T!F36="","",04_DuBao_12T!F36&amp;" "&amp;04_DuBao_12T!G36)</f>
        <v/>
      </c>
    </row>
    <row r="37" customFormat="false" ht="15" hidden="false" customHeight="false" outlineLevel="0" collapsed="false">
      <c r="A37" s="14" t="n">
        <f aca="false">04_DuBao_12T!A37</f>
        <v>0</v>
      </c>
      <c r="B37" s="14" t="str">
        <f aca="false">04_DuBao_12T!B37</f>
        <v>2027-06</v>
      </c>
      <c r="C37" s="16" t="str">
        <f aca="false">04_DuBao_12T!E37</f>
        <v/>
      </c>
      <c r="D37" s="16" t="n">
        <f aca="false">06_TonKho!B10</f>
        <v>0</v>
      </c>
      <c r="E37" s="16" t="str">
        <f aca="false">06_TonKho!F10</f>
        <v/>
      </c>
      <c r="F37" s="14" t="str">
        <f aca="false">IF(04_DuBao_12T!F37="","",04_DuBao_12T!F37&amp;" "&amp;04_DuBao_12T!G37)</f>
        <v/>
      </c>
    </row>
    <row r="38" customFormat="false" ht="15" hidden="false" customHeight="false" outlineLevel="0" collapsed="false">
      <c r="A38" s="14" t="n">
        <f aca="false">04_DuBao_12T!A38</f>
        <v>0</v>
      </c>
      <c r="B38" s="14" t="str">
        <f aca="false">04_DuBao_12T!B38</f>
        <v>2027-07</v>
      </c>
      <c r="C38" s="16" t="str">
        <f aca="false">04_DuBao_12T!E38</f>
        <v/>
      </c>
      <c r="D38" s="16" t="n">
        <f aca="false">06_TonKho!B10</f>
        <v>0</v>
      </c>
      <c r="E38" s="16" t="str">
        <f aca="false">06_TonKho!F10</f>
        <v/>
      </c>
      <c r="F38" s="14" t="str">
        <f aca="false">IF(04_DuBao_12T!F38="","",04_DuBao_12T!F38&amp;" "&amp;04_DuBao_12T!G38)</f>
        <v/>
      </c>
    </row>
    <row r="39" customFormat="false" ht="15" hidden="false" customHeight="false" outlineLevel="0" collapsed="false">
      <c r="A39" s="14" t="n">
        <f aca="false">04_DuBao_12T!A39</f>
        <v>0</v>
      </c>
      <c r="B39" s="14" t="str">
        <f aca="false">04_DuBao_12T!B39</f>
        <v>2027-08</v>
      </c>
      <c r="C39" s="16" t="str">
        <f aca="false">04_DuBao_12T!E39</f>
        <v/>
      </c>
      <c r="D39" s="16" t="n">
        <f aca="false">06_TonKho!B10</f>
        <v>0</v>
      </c>
      <c r="E39" s="16" t="str">
        <f aca="false">06_TonKho!F10</f>
        <v/>
      </c>
      <c r="F39" s="14" t="str">
        <f aca="false">IF(04_DuBao_12T!F39="","",04_DuBao_12T!F39&amp;" "&amp;04_DuBao_12T!G39)</f>
        <v/>
      </c>
    </row>
    <row r="40" customFormat="false" ht="15" hidden="false" customHeight="false" outlineLevel="0" collapsed="false">
      <c r="A40" s="14" t="n">
        <f aca="false">04_DuBao_12T!A40</f>
        <v>0</v>
      </c>
      <c r="B40" s="14" t="str">
        <f aca="false">04_DuBao_12T!B40</f>
        <v>2027-09</v>
      </c>
      <c r="C40" s="16" t="str">
        <f aca="false">04_DuBao_12T!E40</f>
        <v/>
      </c>
      <c r="D40" s="16" t="n">
        <f aca="false">06_TonKho!B10</f>
        <v>0</v>
      </c>
      <c r="E40" s="16" t="str">
        <f aca="false">06_TonKho!F10</f>
        <v/>
      </c>
      <c r="F40" s="14" t="str">
        <f aca="false">IF(04_DuBao_12T!F40="","",04_DuBao_12T!F40&amp;" "&amp;04_DuBao_12T!G40)</f>
        <v/>
      </c>
    </row>
    <row r="41" customFormat="false" ht="15" hidden="false" customHeight="false" outlineLevel="0" collapsed="false">
      <c r="A41" s="14" t="n">
        <f aca="false">04_DuBao_12T!A41</f>
        <v>0</v>
      </c>
      <c r="B41" s="14" t="str">
        <f aca="false">04_DuBao_12T!B41</f>
        <v>2026-10</v>
      </c>
      <c r="C41" s="16" t="str">
        <f aca="false">04_DuBao_12T!E41</f>
        <v/>
      </c>
      <c r="D41" s="16" t="n">
        <f aca="false">06_TonKho!B11</f>
        <v>0</v>
      </c>
      <c r="E41" s="16" t="str">
        <f aca="false">06_TonKho!F11</f>
        <v/>
      </c>
      <c r="F41" s="14" t="str">
        <f aca="false">IF(04_DuBao_12T!F41="","",04_DuBao_12T!F41&amp;" "&amp;04_DuBao_12T!G41)</f>
        <v/>
      </c>
    </row>
    <row r="42" customFormat="false" ht="15" hidden="false" customHeight="false" outlineLevel="0" collapsed="false">
      <c r="A42" s="14" t="n">
        <f aca="false">04_DuBao_12T!A42</f>
        <v>0</v>
      </c>
      <c r="B42" s="14" t="str">
        <f aca="false">04_DuBao_12T!B42</f>
        <v>2026-11</v>
      </c>
      <c r="C42" s="16" t="str">
        <f aca="false">04_DuBao_12T!E42</f>
        <v/>
      </c>
      <c r="D42" s="16" t="n">
        <f aca="false">06_TonKho!B11</f>
        <v>0</v>
      </c>
      <c r="E42" s="16" t="str">
        <f aca="false">06_TonKho!F11</f>
        <v/>
      </c>
      <c r="F42" s="14" t="str">
        <f aca="false">IF(04_DuBao_12T!F42="","",04_DuBao_12T!F42&amp;" "&amp;04_DuBao_12T!G42)</f>
        <v/>
      </c>
    </row>
    <row r="43" customFormat="false" ht="15" hidden="false" customHeight="false" outlineLevel="0" collapsed="false">
      <c r="A43" s="14" t="n">
        <f aca="false">04_DuBao_12T!A43</f>
        <v>0</v>
      </c>
      <c r="B43" s="14" t="str">
        <f aca="false">04_DuBao_12T!B43</f>
        <v>2026-12</v>
      </c>
      <c r="C43" s="16" t="str">
        <f aca="false">04_DuBao_12T!E43</f>
        <v/>
      </c>
      <c r="D43" s="16" t="n">
        <f aca="false">06_TonKho!B11</f>
        <v>0</v>
      </c>
      <c r="E43" s="16" t="str">
        <f aca="false">06_TonKho!F11</f>
        <v/>
      </c>
      <c r="F43" s="14" t="str">
        <f aca="false">IF(04_DuBao_12T!F43="","",04_DuBao_12T!F43&amp;" "&amp;04_DuBao_12T!G43)</f>
        <v/>
      </c>
    </row>
    <row r="44" customFormat="false" ht="15" hidden="false" customHeight="false" outlineLevel="0" collapsed="false">
      <c r="A44" s="14" t="n">
        <f aca="false">04_DuBao_12T!A44</f>
        <v>0</v>
      </c>
      <c r="B44" s="14" t="str">
        <f aca="false">04_DuBao_12T!B44</f>
        <v>2027-01</v>
      </c>
      <c r="C44" s="16" t="str">
        <f aca="false">04_DuBao_12T!E44</f>
        <v/>
      </c>
      <c r="D44" s="16" t="n">
        <f aca="false">06_TonKho!B11</f>
        <v>0</v>
      </c>
      <c r="E44" s="16" t="str">
        <f aca="false">06_TonKho!F11</f>
        <v/>
      </c>
      <c r="F44" s="14" t="str">
        <f aca="false">IF(04_DuBao_12T!F44="","",04_DuBao_12T!F44&amp;" "&amp;04_DuBao_12T!G44)</f>
        <v/>
      </c>
    </row>
    <row r="45" customFormat="false" ht="15" hidden="false" customHeight="false" outlineLevel="0" collapsed="false">
      <c r="A45" s="14" t="n">
        <f aca="false">04_DuBao_12T!A45</f>
        <v>0</v>
      </c>
      <c r="B45" s="14" t="str">
        <f aca="false">04_DuBao_12T!B45</f>
        <v>2027-02</v>
      </c>
      <c r="C45" s="16" t="str">
        <f aca="false">04_DuBao_12T!E45</f>
        <v/>
      </c>
      <c r="D45" s="16" t="n">
        <f aca="false">06_TonKho!B11</f>
        <v>0</v>
      </c>
      <c r="E45" s="16" t="str">
        <f aca="false">06_TonKho!F11</f>
        <v/>
      </c>
      <c r="F45" s="14" t="str">
        <f aca="false">IF(04_DuBao_12T!F45="","",04_DuBao_12T!F45&amp;" "&amp;04_DuBao_12T!G45)</f>
        <v/>
      </c>
    </row>
    <row r="46" customFormat="false" ht="15" hidden="false" customHeight="false" outlineLevel="0" collapsed="false">
      <c r="A46" s="14" t="n">
        <f aca="false">04_DuBao_12T!A46</f>
        <v>0</v>
      </c>
      <c r="B46" s="14" t="str">
        <f aca="false">04_DuBao_12T!B46</f>
        <v>2027-03</v>
      </c>
      <c r="C46" s="16" t="str">
        <f aca="false">04_DuBao_12T!E46</f>
        <v/>
      </c>
      <c r="D46" s="16" t="n">
        <f aca="false">06_TonKho!B11</f>
        <v>0</v>
      </c>
      <c r="E46" s="16" t="str">
        <f aca="false">06_TonKho!F11</f>
        <v/>
      </c>
      <c r="F46" s="14" t="str">
        <f aca="false">IF(04_DuBao_12T!F46="","",04_DuBao_12T!F46&amp;" "&amp;04_DuBao_12T!G46)</f>
        <v/>
      </c>
    </row>
    <row r="47" customFormat="false" ht="15" hidden="false" customHeight="false" outlineLevel="0" collapsed="false">
      <c r="A47" s="14" t="n">
        <f aca="false">04_DuBao_12T!A47</f>
        <v>0</v>
      </c>
      <c r="B47" s="14" t="str">
        <f aca="false">04_DuBao_12T!B47</f>
        <v>2027-04</v>
      </c>
      <c r="C47" s="16" t="str">
        <f aca="false">04_DuBao_12T!E47</f>
        <v/>
      </c>
      <c r="D47" s="16" t="n">
        <f aca="false">06_TonKho!B11</f>
        <v>0</v>
      </c>
      <c r="E47" s="16" t="str">
        <f aca="false">06_TonKho!F11</f>
        <v/>
      </c>
      <c r="F47" s="14" t="str">
        <f aca="false">IF(04_DuBao_12T!F47="","",04_DuBao_12T!F47&amp;" "&amp;04_DuBao_12T!G47)</f>
        <v/>
      </c>
    </row>
    <row r="48" customFormat="false" ht="15" hidden="false" customHeight="false" outlineLevel="0" collapsed="false">
      <c r="A48" s="14" t="n">
        <f aca="false">04_DuBao_12T!A48</f>
        <v>0</v>
      </c>
      <c r="B48" s="14" t="str">
        <f aca="false">04_DuBao_12T!B48</f>
        <v>2027-05</v>
      </c>
      <c r="C48" s="16" t="str">
        <f aca="false">04_DuBao_12T!E48</f>
        <v/>
      </c>
      <c r="D48" s="16" t="n">
        <f aca="false">06_TonKho!B11</f>
        <v>0</v>
      </c>
      <c r="E48" s="16" t="str">
        <f aca="false">06_TonKho!F11</f>
        <v/>
      </c>
      <c r="F48" s="14" t="str">
        <f aca="false">IF(04_DuBao_12T!F48="","",04_DuBao_12T!F48&amp;" "&amp;04_DuBao_12T!G48)</f>
        <v/>
      </c>
    </row>
    <row r="49" customFormat="false" ht="15" hidden="false" customHeight="false" outlineLevel="0" collapsed="false">
      <c r="A49" s="14" t="n">
        <f aca="false">04_DuBao_12T!A49</f>
        <v>0</v>
      </c>
      <c r="B49" s="14" t="str">
        <f aca="false">04_DuBao_12T!B49</f>
        <v>2027-06</v>
      </c>
      <c r="C49" s="16" t="str">
        <f aca="false">04_DuBao_12T!E49</f>
        <v/>
      </c>
      <c r="D49" s="16" t="n">
        <f aca="false">06_TonKho!B11</f>
        <v>0</v>
      </c>
      <c r="E49" s="16" t="str">
        <f aca="false">06_TonKho!F11</f>
        <v/>
      </c>
      <c r="F49" s="14" t="str">
        <f aca="false">IF(04_DuBao_12T!F49="","",04_DuBao_12T!F49&amp;" "&amp;04_DuBao_12T!G49)</f>
        <v/>
      </c>
    </row>
    <row r="50" customFormat="false" ht="15" hidden="false" customHeight="false" outlineLevel="0" collapsed="false">
      <c r="A50" s="14" t="n">
        <f aca="false">04_DuBao_12T!A50</f>
        <v>0</v>
      </c>
      <c r="B50" s="14" t="str">
        <f aca="false">04_DuBao_12T!B50</f>
        <v>2027-07</v>
      </c>
      <c r="C50" s="16" t="str">
        <f aca="false">04_DuBao_12T!E50</f>
        <v/>
      </c>
      <c r="D50" s="16" t="n">
        <f aca="false">06_TonKho!B11</f>
        <v>0</v>
      </c>
      <c r="E50" s="16" t="str">
        <f aca="false">06_TonKho!F11</f>
        <v/>
      </c>
      <c r="F50" s="14" t="str">
        <f aca="false">IF(04_DuBao_12T!F50="","",04_DuBao_12T!F50&amp;" "&amp;04_DuBao_12T!G50)</f>
        <v/>
      </c>
    </row>
    <row r="51" customFormat="false" ht="15" hidden="false" customHeight="false" outlineLevel="0" collapsed="false">
      <c r="A51" s="14" t="n">
        <f aca="false">04_DuBao_12T!A51</f>
        <v>0</v>
      </c>
      <c r="B51" s="14" t="str">
        <f aca="false">04_DuBao_12T!B51</f>
        <v>2027-08</v>
      </c>
      <c r="C51" s="16" t="str">
        <f aca="false">04_DuBao_12T!E51</f>
        <v/>
      </c>
      <c r="D51" s="16" t="n">
        <f aca="false">06_TonKho!B11</f>
        <v>0</v>
      </c>
      <c r="E51" s="16" t="str">
        <f aca="false">06_TonKho!F11</f>
        <v/>
      </c>
      <c r="F51" s="14" t="str">
        <f aca="false">IF(04_DuBao_12T!F51="","",04_DuBao_12T!F51&amp;" "&amp;04_DuBao_12T!G51)</f>
        <v/>
      </c>
    </row>
    <row r="52" customFormat="false" ht="15" hidden="false" customHeight="false" outlineLevel="0" collapsed="false">
      <c r="A52" s="14" t="n">
        <f aca="false">04_DuBao_12T!A52</f>
        <v>0</v>
      </c>
      <c r="B52" s="14" t="str">
        <f aca="false">04_DuBao_12T!B52</f>
        <v>2027-09</v>
      </c>
      <c r="C52" s="16" t="str">
        <f aca="false">04_DuBao_12T!E52</f>
        <v/>
      </c>
      <c r="D52" s="16" t="n">
        <f aca="false">06_TonKho!B11</f>
        <v>0</v>
      </c>
      <c r="E52" s="16" t="str">
        <f aca="false">06_TonKho!F11</f>
        <v/>
      </c>
      <c r="F52" s="14" t="str">
        <f aca="false">IF(04_DuBao_12T!F52="","",04_DuBao_12T!F52&amp;" "&amp;04_DuBao_12T!G52)</f>
        <v/>
      </c>
    </row>
    <row r="53" customFormat="false" ht="15" hidden="false" customHeight="false" outlineLevel="0" collapsed="false">
      <c r="A53" s="14" t="n">
        <f aca="false">04_DuBao_12T!A53</f>
        <v>0</v>
      </c>
      <c r="B53" s="14" t="str">
        <f aca="false">04_DuBao_12T!B53</f>
        <v>2026-10</v>
      </c>
      <c r="C53" s="16" t="str">
        <f aca="false">04_DuBao_12T!E53</f>
        <v/>
      </c>
      <c r="D53" s="16" t="n">
        <f aca="false">06_TonKho!B12</f>
        <v>0</v>
      </c>
      <c r="E53" s="16" t="str">
        <f aca="false">06_TonKho!F12</f>
        <v/>
      </c>
      <c r="F53" s="14" t="str">
        <f aca="false">IF(04_DuBao_12T!F53="","",04_DuBao_12T!F53&amp;" "&amp;04_DuBao_12T!G53)</f>
        <v/>
      </c>
    </row>
    <row r="54" customFormat="false" ht="15" hidden="false" customHeight="false" outlineLevel="0" collapsed="false">
      <c r="A54" s="14" t="n">
        <f aca="false">04_DuBao_12T!A54</f>
        <v>0</v>
      </c>
      <c r="B54" s="14" t="str">
        <f aca="false">04_DuBao_12T!B54</f>
        <v>2026-11</v>
      </c>
      <c r="C54" s="16" t="str">
        <f aca="false">04_DuBao_12T!E54</f>
        <v/>
      </c>
      <c r="D54" s="16" t="n">
        <f aca="false">06_TonKho!B12</f>
        <v>0</v>
      </c>
      <c r="E54" s="16" t="str">
        <f aca="false">06_TonKho!F12</f>
        <v/>
      </c>
      <c r="F54" s="14" t="str">
        <f aca="false">IF(04_DuBao_12T!F54="","",04_DuBao_12T!F54&amp;" "&amp;04_DuBao_12T!G54)</f>
        <v/>
      </c>
    </row>
    <row r="55" customFormat="false" ht="15" hidden="false" customHeight="false" outlineLevel="0" collapsed="false">
      <c r="A55" s="14" t="n">
        <f aca="false">04_DuBao_12T!A55</f>
        <v>0</v>
      </c>
      <c r="B55" s="14" t="str">
        <f aca="false">04_DuBao_12T!B55</f>
        <v>2026-12</v>
      </c>
      <c r="C55" s="16" t="str">
        <f aca="false">04_DuBao_12T!E55</f>
        <v/>
      </c>
      <c r="D55" s="16" t="n">
        <f aca="false">06_TonKho!B12</f>
        <v>0</v>
      </c>
      <c r="E55" s="16" t="str">
        <f aca="false">06_TonKho!F12</f>
        <v/>
      </c>
      <c r="F55" s="14" t="str">
        <f aca="false">IF(04_DuBao_12T!F55="","",04_DuBao_12T!F55&amp;" "&amp;04_DuBao_12T!G55)</f>
        <v/>
      </c>
    </row>
    <row r="56" customFormat="false" ht="15" hidden="false" customHeight="false" outlineLevel="0" collapsed="false">
      <c r="A56" s="14" t="n">
        <f aca="false">04_DuBao_12T!A56</f>
        <v>0</v>
      </c>
      <c r="B56" s="14" t="str">
        <f aca="false">04_DuBao_12T!B56</f>
        <v>2027-01</v>
      </c>
      <c r="C56" s="16" t="str">
        <f aca="false">04_DuBao_12T!E56</f>
        <v/>
      </c>
      <c r="D56" s="16" t="n">
        <f aca="false">06_TonKho!B12</f>
        <v>0</v>
      </c>
      <c r="E56" s="16" t="str">
        <f aca="false">06_TonKho!F12</f>
        <v/>
      </c>
      <c r="F56" s="14" t="str">
        <f aca="false">IF(04_DuBao_12T!F56="","",04_DuBao_12T!F56&amp;" "&amp;04_DuBao_12T!G56)</f>
        <v/>
      </c>
    </row>
    <row r="57" customFormat="false" ht="15" hidden="false" customHeight="false" outlineLevel="0" collapsed="false">
      <c r="A57" s="14" t="n">
        <f aca="false">04_DuBao_12T!A57</f>
        <v>0</v>
      </c>
      <c r="B57" s="14" t="str">
        <f aca="false">04_DuBao_12T!B57</f>
        <v>2027-02</v>
      </c>
      <c r="C57" s="16" t="str">
        <f aca="false">04_DuBao_12T!E57</f>
        <v/>
      </c>
      <c r="D57" s="16" t="n">
        <f aca="false">06_TonKho!B12</f>
        <v>0</v>
      </c>
      <c r="E57" s="16" t="str">
        <f aca="false">06_TonKho!F12</f>
        <v/>
      </c>
      <c r="F57" s="14" t="str">
        <f aca="false">IF(04_DuBao_12T!F57="","",04_DuBao_12T!F57&amp;" "&amp;04_DuBao_12T!G57)</f>
        <v/>
      </c>
    </row>
    <row r="58" customFormat="false" ht="15" hidden="false" customHeight="false" outlineLevel="0" collapsed="false">
      <c r="A58" s="14" t="n">
        <f aca="false">04_DuBao_12T!A58</f>
        <v>0</v>
      </c>
      <c r="B58" s="14" t="str">
        <f aca="false">04_DuBao_12T!B58</f>
        <v>2027-03</v>
      </c>
      <c r="C58" s="16" t="str">
        <f aca="false">04_DuBao_12T!E58</f>
        <v/>
      </c>
      <c r="D58" s="16" t="n">
        <f aca="false">06_TonKho!B12</f>
        <v>0</v>
      </c>
      <c r="E58" s="16" t="str">
        <f aca="false">06_TonKho!F12</f>
        <v/>
      </c>
      <c r="F58" s="14" t="str">
        <f aca="false">IF(04_DuBao_12T!F58="","",04_DuBao_12T!F58&amp;" "&amp;04_DuBao_12T!G58)</f>
        <v/>
      </c>
    </row>
    <row r="59" customFormat="false" ht="15" hidden="false" customHeight="false" outlineLevel="0" collapsed="false">
      <c r="A59" s="14" t="n">
        <f aca="false">04_DuBao_12T!A59</f>
        <v>0</v>
      </c>
      <c r="B59" s="14" t="str">
        <f aca="false">04_DuBao_12T!B59</f>
        <v>2027-04</v>
      </c>
      <c r="C59" s="16" t="str">
        <f aca="false">04_DuBao_12T!E59</f>
        <v/>
      </c>
      <c r="D59" s="16" t="n">
        <f aca="false">06_TonKho!B12</f>
        <v>0</v>
      </c>
      <c r="E59" s="16" t="str">
        <f aca="false">06_TonKho!F12</f>
        <v/>
      </c>
      <c r="F59" s="14" t="str">
        <f aca="false">IF(04_DuBao_12T!F59="","",04_DuBao_12T!F59&amp;" "&amp;04_DuBao_12T!G59)</f>
        <v/>
      </c>
    </row>
    <row r="60" customFormat="false" ht="15" hidden="false" customHeight="false" outlineLevel="0" collapsed="false">
      <c r="A60" s="14" t="n">
        <f aca="false">04_DuBao_12T!A60</f>
        <v>0</v>
      </c>
      <c r="B60" s="14" t="str">
        <f aca="false">04_DuBao_12T!B60</f>
        <v>2027-05</v>
      </c>
      <c r="C60" s="16" t="str">
        <f aca="false">04_DuBao_12T!E60</f>
        <v/>
      </c>
      <c r="D60" s="16" t="n">
        <f aca="false">06_TonKho!B12</f>
        <v>0</v>
      </c>
      <c r="E60" s="16" t="str">
        <f aca="false">06_TonKho!F12</f>
        <v/>
      </c>
      <c r="F60" s="14" t="str">
        <f aca="false">IF(04_DuBao_12T!F60="","",04_DuBao_12T!F60&amp;" "&amp;04_DuBao_12T!G60)</f>
        <v/>
      </c>
    </row>
    <row r="61" customFormat="false" ht="15" hidden="false" customHeight="false" outlineLevel="0" collapsed="false">
      <c r="A61" s="14" t="n">
        <f aca="false">04_DuBao_12T!A61</f>
        <v>0</v>
      </c>
      <c r="B61" s="14" t="str">
        <f aca="false">04_DuBao_12T!B61</f>
        <v>2027-06</v>
      </c>
      <c r="C61" s="16" t="str">
        <f aca="false">04_DuBao_12T!E61</f>
        <v/>
      </c>
      <c r="D61" s="16" t="n">
        <f aca="false">06_TonKho!B12</f>
        <v>0</v>
      </c>
      <c r="E61" s="16" t="str">
        <f aca="false">06_TonKho!F12</f>
        <v/>
      </c>
      <c r="F61" s="14" t="str">
        <f aca="false">IF(04_DuBao_12T!F61="","",04_DuBao_12T!F61&amp;" "&amp;04_DuBao_12T!G61)</f>
        <v/>
      </c>
    </row>
    <row r="62" customFormat="false" ht="15" hidden="false" customHeight="false" outlineLevel="0" collapsed="false">
      <c r="A62" s="14" t="n">
        <f aca="false">04_DuBao_12T!A62</f>
        <v>0</v>
      </c>
      <c r="B62" s="14" t="str">
        <f aca="false">04_DuBao_12T!B62</f>
        <v>2027-07</v>
      </c>
      <c r="C62" s="16" t="str">
        <f aca="false">04_DuBao_12T!E62</f>
        <v/>
      </c>
      <c r="D62" s="16" t="n">
        <f aca="false">06_TonKho!B12</f>
        <v>0</v>
      </c>
      <c r="E62" s="16" t="str">
        <f aca="false">06_TonKho!F12</f>
        <v/>
      </c>
      <c r="F62" s="14" t="str">
        <f aca="false">IF(04_DuBao_12T!F62="","",04_DuBao_12T!F62&amp;" "&amp;04_DuBao_12T!G62)</f>
        <v/>
      </c>
    </row>
    <row r="63" customFormat="false" ht="15" hidden="false" customHeight="false" outlineLevel="0" collapsed="false">
      <c r="A63" s="14" t="n">
        <f aca="false">04_DuBao_12T!A63</f>
        <v>0</v>
      </c>
      <c r="B63" s="14" t="str">
        <f aca="false">04_DuBao_12T!B63</f>
        <v>2027-08</v>
      </c>
      <c r="C63" s="16" t="str">
        <f aca="false">04_DuBao_12T!E63</f>
        <v/>
      </c>
      <c r="D63" s="16" t="n">
        <f aca="false">06_TonKho!B12</f>
        <v>0</v>
      </c>
      <c r="E63" s="16" t="str">
        <f aca="false">06_TonKho!F12</f>
        <v/>
      </c>
      <c r="F63" s="14" t="str">
        <f aca="false">IF(04_DuBao_12T!F63="","",04_DuBao_12T!F63&amp;" "&amp;04_DuBao_12T!G63)</f>
        <v/>
      </c>
    </row>
    <row r="64" customFormat="false" ht="15" hidden="false" customHeight="false" outlineLevel="0" collapsed="false">
      <c r="A64" s="14" t="n">
        <f aca="false">04_DuBao_12T!A64</f>
        <v>0</v>
      </c>
      <c r="B64" s="14" t="str">
        <f aca="false">04_DuBao_12T!B64</f>
        <v>2027-09</v>
      </c>
      <c r="C64" s="16" t="str">
        <f aca="false">04_DuBao_12T!E64</f>
        <v/>
      </c>
      <c r="D64" s="16" t="n">
        <f aca="false">06_TonKho!B12</f>
        <v>0</v>
      </c>
      <c r="E64" s="16" t="str">
        <f aca="false">06_TonKho!F12</f>
        <v/>
      </c>
      <c r="F64" s="14" t="str">
        <f aca="false">IF(04_DuBao_12T!F64="","",04_DuBao_12T!F64&amp;" "&amp;04_DuBao_12T!G64)</f>
        <v/>
      </c>
    </row>
    <row r="65" customFormat="false" ht="15" hidden="false" customHeight="false" outlineLevel="0" collapsed="false">
      <c r="A65" s="14" t="n">
        <f aca="false">04_DuBao_12T!A65</f>
        <v>0</v>
      </c>
      <c r="B65" s="14" t="str">
        <f aca="false">04_DuBao_12T!B65</f>
        <v>2026-10</v>
      </c>
      <c r="C65" s="16" t="str">
        <f aca="false">04_DuBao_12T!E65</f>
        <v/>
      </c>
      <c r="D65" s="16" t="n">
        <f aca="false">06_TonKho!B13</f>
        <v>0</v>
      </c>
      <c r="E65" s="16" t="str">
        <f aca="false">06_TonKho!F13</f>
        <v/>
      </c>
      <c r="F65" s="14" t="str">
        <f aca="false">IF(04_DuBao_12T!F65="","",04_DuBao_12T!F65&amp;" "&amp;04_DuBao_12T!G65)</f>
        <v/>
      </c>
    </row>
    <row r="66" customFormat="false" ht="15" hidden="false" customHeight="false" outlineLevel="0" collapsed="false">
      <c r="A66" s="14" t="n">
        <f aca="false">04_DuBao_12T!A66</f>
        <v>0</v>
      </c>
      <c r="B66" s="14" t="str">
        <f aca="false">04_DuBao_12T!B66</f>
        <v>2026-11</v>
      </c>
      <c r="C66" s="16" t="str">
        <f aca="false">04_DuBao_12T!E66</f>
        <v/>
      </c>
      <c r="D66" s="16" t="n">
        <f aca="false">06_TonKho!B13</f>
        <v>0</v>
      </c>
      <c r="E66" s="16" t="str">
        <f aca="false">06_TonKho!F13</f>
        <v/>
      </c>
      <c r="F66" s="14" t="str">
        <f aca="false">IF(04_DuBao_12T!F66="","",04_DuBao_12T!F66&amp;" "&amp;04_DuBao_12T!G66)</f>
        <v/>
      </c>
    </row>
    <row r="67" customFormat="false" ht="15" hidden="false" customHeight="false" outlineLevel="0" collapsed="false">
      <c r="A67" s="14" t="n">
        <f aca="false">04_DuBao_12T!A67</f>
        <v>0</v>
      </c>
      <c r="B67" s="14" t="str">
        <f aca="false">04_DuBao_12T!B67</f>
        <v>2026-12</v>
      </c>
      <c r="C67" s="16" t="str">
        <f aca="false">04_DuBao_12T!E67</f>
        <v/>
      </c>
      <c r="D67" s="16" t="n">
        <f aca="false">06_TonKho!B13</f>
        <v>0</v>
      </c>
      <c r="E67" s="16" t="str">
        <f aca="false">06_TonKho!F13</f>
        <v/>
      </c>
      <c r="F67" s="14" t="str">
        <f aca="false">IF(04_DuBao_12T!F67="","",04_DuBao_12T!F67&amp;" "&amp;04_DuBao_12T!G67)</f>
        <v/>
      </c>
    </row>
    <row r="68" customFormat="false" ht="15" hidden="false" customHeight="false" outlineLevel="0" collapsed="false">
      <c r="A68" s="14" t="n">
        <f aca="false">04_DuBao_12T!A68</f>
        <v>0</v>
      </c>
      <c r="B68" s="14" t="str">
        <f aca="false">04_DuBao_12T!B68</f>
        <v>2027-01</v>
      </c>
      <c r="C68" s="16" t="str">
        <f aca="false">04_DuBao_12T!E68</f>
        <v/>
      </c>
      <c r="D68" s="16" t="n">
        <f aca="false">06_TonKho!B13</f>
        <v>0</v>
      </c>
      <c r="E68" s="16" t="str">
        <f aca="false">06_TonKho!F13</f>
        <v/>
      </c>
      <c r="F68" s="14" t="str">
        <f aca="false">IF(04_DuBao_12T!F68="","",04_DuBao_12T!F68&amp;" "&amp;04_DuBao_12T!G68)</f>
        <v/>
      </c>
    </row>
    <row r="69" customFormat="false" ht="15" hidden="false" customHeight="false" outlineLevel="0" collapsed="false">
      <c r="A69" s="14" t="n">
        <f aca="false">04_DuBao_12T!A69</f>
        <v>0</v>
      </c>
      <c r="B69" s="14" t="str">
        <f aca="false">04_DuBao_12T!B69</f>
        <v>2027-02</v>
      </c>
      <c r="C69" s="16" t="str">
        <f aca="false">04_DuBao_12T!E69</f>
        <v/>
      </c>
      <c r="D69" s="16" t="n">
        <f aca="false">06_TonKho!B13</f>
        <v>0</v>
      </c>
      <c r="E69" s="16" t="str">
        <f aca="false">06_TonKho!F13</f>
        <v/>
      </c>
      <c r="F69" s="14" t="str">
        <f aca="false">IF(04_DuBao_12T!F69="","",04_DuBao_12T!F69&amp;" "&amp;04_DuBao_12T!G69)</f>
        <v/>
      </c>
    </row>
    <row r="70" customFormat="false" ht="15" hidden="false" customHeight="false" outlineLevel="0" collapsed="false">
      <c r="A70" s="14" t="n">
        <f aca="false">04_DuBao_12T!A70</f>
        <v>0</v>
      </c>
      <c r="B70" s="14" t="str">
        <f aca="false">04_DuBao_12T!B70</f>
        <v>2027-03</v>
      </c>
      <c r="C70" s="16" t="str">
        <f aca="false">04_DuBao_12T!E70</f>
        <v/>
      </c>
      <c r="D70" s="16" t="n">
        <f aca="false">06_TonKho!B13</f>
        <v>0</v>
      </c>
      <c r="E70" s="16" t="str">
        <f aca="false">06_TonKho!F13</f>
        <v/>
      </c>
      <c r="F70" s="14" t="str">
        <f aca="false">IF(04_DuBao_12T!F70="","",04_DuBao_12T!F70&amp;" "&amp;04_DuBao_12T!G70)</f>
        <v/>
      </c>
    </row>
    <row r="71" customFormat="false" ht="15" hidden="false" customHeight="false" outlineLevel="0" collapsed="false">
      <c r="A71" s="14" t="n">
        <f aca="false">04_DuBao_12T!A71</f>
        <v>0</v>
      </c>
      <c r="B71" s="14" t="str">
        <f aca="false">04_DuBao_12T!B71</f>
        <v>2027-04</v>
      </c>
      <c r="C71" s="16" t="str">
        <f aca="false">04_DuBao_12T!E71</f>
        <v/>
      </c>
      <c r="D71" s="16" t="n">
        <f aca="false">06_TonKho!B13</f>
        <v>0</v>
      </c>
      <c r="E71" s="16" t="str">
        <f aca="false">06_TonKho!F13</f>
        <v/>
      </c>
      <c r="F71" s="14" t="str">
        <f aca="false">IF(04_DuBao_12T!F71="","",04_DuBao_12T!F71&amp;" "&amp;04_DuBao_12T!G71)</f>
        <v/>
      </c>
    </row>
    <row r="72" customFormat="false" ht="15" hidden="false" customHeight="false" outlineLevel="0" collapsed="false">
      <c r="A72" s="14" t="n">
        <f aca="false">04_DuBao_12T!A72</f>
        <v>0</v>
      </c>
      <c r="B72" s="14" t="str">
        <f aca="false">04_DuBao_12T!B72</f>
        <v>2027-05</v>
      </c>
      <c r="C72" s="16" t="str">
        <f aca="false">04_DuBao_12T!E72</f>
        <v/>
      </c>
      <c r="D72" s="16" t="n">
        <f aca="false">06_TonKho!B13</f>
        <v>0</v>
      </c>
      <c r="E72" s="16" t="str">
        <f aca="false">06_TonKho!F13</f>
        <v/>
      </c>
      <c r="F72" s="14" t="str">
        <f aca="false">IF(04_DuBao_12T!F72="","",04_DuBao_12T!F72&amp;" "&amp;04_DuBao_12T!G72)</f>
        <v/>
      </c>
    </row>
    <row r="73" customFormat="false" ht="15" hidden="false" customHeight="false" outlineLevel="0" collapsed="false">
      <c r="A73" s="14" t="n">
        <f aca="false">04_DuBao_12T!A73</f>
        <v>0</v>
      </c>
      <c r="B73" s="14" t="str">
        <f aca="false">04_DuBao_12T!B73</f>
        <v>2027-06</v>
      </c>
      <c r="C73" s="16" t="str">
        <f aca="false">04_DuBao_12T!E73</f>
        <v/>
      </c>
      <c r="D73" s="16" t="n">
        <f aca="false">06_TonKho!B13</f>
        <v>0</v>
      </c>
      <c r="E73" s="16" t="str">
        <f aca="false">06_TonKho!F13</f>
        <v/>
      </c>
      <c r="F73" s="14" t="str">
        <f aca="false">IF(04_DuBao_12T!F73="","",04_DuBao_12T!F73&amp;" "&amp;04_DuBao_12T!G73)</f>
        <v/>
      </c>
    </row>
    <row r="74" customFormat="false" ht="15" hidden="false" customHeight="false" outlineLevel="0" collapsed="false">
      <c r="A74" s="14" t="n">
        <f aca="false">04_DuBao_12T!A74</f>
        <v>0</v>
      </c>
      <c r="B74" s="14" t="str">
        <f aca="false">04_DuBao_12T!B74</f>
        <v>2027-07</v>
      </c>
      <c r="C74" s="16" t="str">
        <f aca="false">04_DuBao_12T!E74</f>
        <v/>
      </c>
      <c r="D74" s="16" t="n">
        <f aca="false">06_TonKho!B13</f>
        <v>0</v>
      </c>
      <c r="E74" s="16" t="str">
        <f aca="false">06_TonKho!F13</f>
        <v/>
      </c>
      <c r="F74" s="14" t="str">
        <f aca="false">IF(04_DuBao_12T!F74="","",04_DuBao_12T!F74&amp;" "&amp;04_DuBao_12T!G74)</f>
        <v/>
      </c>
    </row>
    <row r="75" customFormat="false" ht="15" hidden="false" customHeight="false" outlineLevel="0" collapsed="false">
      <c r="A75" s="14" t="n">
        <f aca="false">04_DuBao_12T!A75</f>
        <v>0</v>
      </c>
      <c r="B75" s="14" t="str">
        <f aca="false">04_DuBao_12T!B75</f>
        <v>2027-08</v>
      </c>
      <c r="C75" s="16" t="str">
        <f aca="false">04_DuBao_12T!E75</f>
        <v/>
      </c>
      <c r="D75" s="16" t="n">
        <f aca="false">06_TonKho!B13</f>
        <v>0</v>
      </c>
      <c r="E75" s="16" t="str">
        <f aca="false">06_TonKho!F13</f>
        <v/>
      </c>
      <c r="F75" s="14" t="str">
        <f aca="false">IF(04_DuBao_12T!F75="","",04_DuBao_12T!F75&amp;" "&amp;04_DuBao_12T!G75)</f>
        <v/>
      </c>
    </row>
    <row r="76" customFormat="false" ht="15" hidden="false" customHeight="false" outlineLevel="0" collapsed="false">
      <c r="A76" s="14" t="n">
        <f aca="false">04_DuBao_12T!A76</f>
        <v>0</v>
      </c>
      <c r="B76" s="14" t="str">
        <f aca="false">04_DuBao_12T!B76</f>
        <v>2027-09</v>
      </c>
      <c r="C76" s="16" t="str">
        <f aca="false">04_DuBao_12T!E76</f>
        <v/>
      </c>
      <c r="D76" s="16" t="n">
        <f aca="false">06_TonKho!B13</f>
        <v>0</v>
      </c>
      <c r="E76" s="16" t="str">
        <f aca="false">06_TonKho!F13</f>
        <v/>
      </c>
      <c r="F76" s="14" t="str">
        <f aca="false">IF(04_DuBao_12T!F76="","",04_DuBao_12T!F76&amp;" "&amp;04_DuBao_12T!G76)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0"/>
  </cols>
  <sheetData>
    <row r="1" customFormat="false" ht="30" hidden="false" customHeight="true" outlineLevel="0" collapsed="false">
      <c r="A1" s="1" t="s">
        <v>196</v>
      </c>
    </row>
    <row r="2" customFormat="false" ht="15" hidden="false" customHeight="false" outlineLevel="0" collapsed="false">
      <c r="A2" s="2" t="s">
        <v>197</v>
      </c>
    </row>
    <row r="4" customFormat="false" ht="30" hidden="false" customHeight="true" outlineLevel="0" collapsed="false">
      <c r="A4" s="6" t="s">
        <v>133</v>
      </c>
      <c r="B4" s="6" t="s">
        <v>164</v>
      </c>
      <c r="C4" s="6" t="s">
        <v>165</v>
      </c>
      <c r="D4" s="6" t="s">
        <v>166</v>
      </c>
      <c r="E4" s="6" t="s">
        <v>167</v>
      </c>
      <c r="F4" s="6" t="s">
        <v>168</v>
      </c>
      <c r="G4" s="6" t="s">
        <v>169</v>
      </c>
      <c r="H4" s="6" t="s">
        <v>170</v>
      </c>
      <c r="I4" s="6" t="s">
        <v>171</v>
      </c>
      <c r="J4" s="6" t="s">
        <v>172</v>
      </c>
      <c r="K4" s="6" t="s">
        <v>173</v>
      </c>
      <c r="L4" s="6" t="s">
        <v>174</v>
      </c>
      <c r="M4" s="6" t="s">
        <v>175</v>
      </c>
      <c r="N4" s="6" t="s">
        <v>198</v>
      </c>
    </row>
    <row r="5" customFormat="false" ht="15" hidden="false" customHeight="false" outlineLevel="0" collapsed="false">
      <c r="A5" s="14" t="n">
        <f aca="false">01_Portfolio!B$5</f>
        <v>0</v>
      </c>
      <c r="B5" s="16" t="str">
        <f aca="false">IFERROR(04_DuBao_12T!$E$5*INDEX(Data!$B$39:$AQ$39,MATCH($A5,Data!$B$1:$AQ$1,0))/1000,"")</f>
        <v/>
      </c>
      <c r="C5" s="16" t="str">
        <f aca="false">IFERROR(04_DuBao_12T!$E$6*INDEX(Data!$B$39:$AQ$39,MATCH($A5,Data!$B$1:$AQ$1,0))/1000,"")</f>
        <v/>
      </c>
      <c r="D5" s="16" t="str">
        <f aca="false">IFERROR(04_DuBao_12T!$E$7*INDEX(Data!$B$39:$AQ$39,MATCH($A5,Data!$B$1:$AQ$1,0))/1000,"")</f>
        <v/>
      </c>
      <c r="E5" s="16" t="str">
        <f aca="false">IFERROR(04_DuBao_12T!$E$8*INDEX(Data!$B$39:$AQ$39,MATCH($A5,Data!$B$1:$AQ$1,0))/1000,"")</f>
        <v/>
      </c>
      <c r="F5" s="16" t="str">
        <f aca="false">IFERROR(04_DuBao_12T!$E$9*INDEX(Data!$B$39:$AQ$39,MATCH($A5,Data!$B$1:$AQ$1,0))/1000,"")</f>
        <v/>
      </c>
      <c r="G5" s="16" t="str">
        <f aca="false">IFERROR(04_DuBao_12T!$E$10*INDEX(Data!$B$39:$AQ$39,MATCH($A5,Data!$B$1:$AQ$1,0))/1000,"")</f>
        <v/>
      </c>
      <c r="H5" s="16" t="str">
        <f aca="false">IFERROR(04_DuBao_12T!$E$11*INDEX(Data!$B$39:$AQ$39,MATCH($A5,Data!$B$1:$AQ$1,0))/1000,"")</f>
        <v/>
      </c>
      <c r="I5" s="16" t="str">
        <f aca="false">IFERROR(04_DuBao_12T!$E$12*INDEX(Data!$B$39:$AQ$39,MATCH($A5,Data!$B$1:$AQ$1,0))/1000,"")</f>
        <v/>
      </c>
      <c r="J5" s="16" t="str">
        <f aca="false">IFERROR(04_DuBao_12T!$E$13*INDEX(Data!$B$39:$AQ$39,MATCH($A5,Data!$B$1:$AQ$1,0))/1000,"")</f>
        <v/>
      </c>
      <c r="K5" s="16" t="str">
        <f aca="false">IFERROR(04_DuBao_12T!$E$14*INDEX(Data!$B$39:$AQ$39,MATCH($A5,Data!$B$1:$AQ$1,0))/1000,"")</f>
        <v/>
      </c>
      <c r="L5" s="16" t="str">
        <f aca="false">IFERROR(04_DuBao_12T!$E$15*INDEX(Data!$B$39:$AQ$39,MATCH($A5,Data!$B$1:$AQ$1,0))/1000,"")</f>
        <v/>
      </c>
      <c r="M5" s="16" t="str">
        <f aca="false">IFERROR(04_DuBao_12T!$E$16*INDEX(Data!$B$39:$AQ$39,MATCH($A5,Data!$B$1:$AQ$1,0))/1000,"")</f>
        <v/>
      </c>
      <c r="N5" s="16" t="n">
        <f aca="false">SUM(B5:M5)</f>
        <v>0</v>
      </c>
    </row>
    <row r="6" customFormat="false" ht="15" hidden="false" customHeight="false" outlineLevel="0" collapsed="false">
      <c r="A6" s="14" t="n">
        <f aca="false">01_Portfolio!C$5</f>
        <v>0</v>
      </c>
      <c r="B6" s="16" t="str">
        <f aca="false">IFERROR(04_DuBao_12T!$E$17*INDEX(Data!$B$39:$AQ$39,MATCH($A6,Data!$B$1:$AQ$1,0))/1000,"")</f>
        <v/>
      </c>
      <c r="C6" s="16" t="str">
        <f aca="false">IFERROR(04_DuBao_12T!$E$18*INDEX(Data!$B$39:$AQ$39,MATCH($A6,Data!$B$1:$AQ$1,0))/1000,"")</f>
        <v/>
      </c>
      <c r="D6" s="16" t="str">
        <f aca="false">IFERROR(04_DuBao_12T!$E$19*INDEX(Data!$B$39:$AQ$39,MATCH($A6,Data!$B$1:$AQ$1,0))/1000,"")</f>
        <v/>
      </c>
      <c r="E6" s="16" t="str">
        <f aca="false">IFERROR(04_DuBao_12T!$E$20*INDEX(Data!$B$39:$AQ$39,MATCH($A6,Data!$B$1:$AQ$1,0))/1000,"")</f>
        <v/>
      </c>
      <c r="F6" s="16" t="str">
        <f aca="false">IFERROR(04_DuBao_12T!$E$21*INDEX(Data!$B$39:$AQ$39,MATCH($A6,Data!$B$1:$AQ$1,0))/1000,"")</f>
        <v/>
      </c>
      <c r="G6" s="16" t="str">
        <f aca="false">IFERROR(04_DuBao_12T!$E$22*INDEX(Data!$B$39:$AQ$39,MATCH($A6,Data!$B$1:$AQ$1,0))/1000,"")</f>
        <v/>
      </c>
      <c r="H6" s="16" t="str">
        <f aca="false">IFERROR(04_DuBao_12T!$E$23*INDEX(Data!$B$39:$AQ$39,MATCH($A6,Data!$B$1:$AQ$1,0))/1000,"")</f>
        <v/>
      </c>
      <c r="I6" s="16" t="str">
        <f aca="false">IFERROR(04_DuBao_12T!$E$24*INDEX(Data!$B$39:$AQ$39,MATCH($A6,Data!$B$1:$AQ$1,0))/1000,"")</f>
        <v/>
      </c>
      <c r="J6" s="16" t="str">
        <f aca="false">IFERROR(04_DuBao_12T!$E$25*INDEX(Data!$B$39:$AQ$39,MATCH($A6,Data!$B$1:$AQ$1,0))/1000,"")</f>
        <v/>
      </c>
      <c r="K6" s="16" t="str">
        <f aca="false">IFERROR(04_DuBao_12T!$E$26*INDEX(Data!$B$39:$AQ$39,MATCH($A6,Data!$B$1:$AQ$1,0))/1000,"")</f>
        <v/>
      </c>
      <c r="L6" s="16" t="str">
        <f aca="false">IFERROR(04_DuBao_12T!$E$27*INDEX(Data!$B$39:$AQ$39,MATCH($A6,Data!$B$1:$AQ$1,0))/1000,"")</f>
        <v/>
      </c>
      <c r="M6" s="16" t="str">
        <f aca="false">IFERROR(04_DuBao_12T!$E$28*INDEX(Data!$B$39:$AQ$39,MATCH($A6,Data!$B$1:$AQ$1,0))/1000,"")</f>
        <v/>
      </c>
      <c r="N6" s="16" t="n">
        <f aca="false">SUM(B6:M6)</f>
        <v>0</v>
      </c>
    </row>
    <row r="7" customFormat="false" ht="15" hidden="false" customHeight="false" outlineLevel="0" collapsed="false">
      <c r="A7" s="14" t="n">
        <f aca="false">01_Portfolio!D$5</f>
        <v>0</v>
      </c>
      <c r="B7" s="16" t="str">
        <f aca="false">IFERROR(04_DuBao_12T!$E$29*INDEX(Data!$B$39:$AQ$39,MATCH($A7,Data!$B$1:$AQ$1,0))/1000,"")</f>
        <v/>
      </c>
      <c r="C7" s="16" t="str">
        <f aca="false">IFERROR(04_DuBao_12T!$E$30*INDEX(Data!$B$39:$AQ$39,MATCH($A7,Data!$B$1:$AQ$1,0))/1000,"")</f>
        <v/>
      </c>
      <c r="D7" s="16" t="str">
        <f aca="false">IFERROR(04_DuBao_12T!$E$31*INDEX(Data!$B$39:$AQ$39,MATCH($A7,Data!$B$1:$AQ$1,0))/1000,"")</f>
        <v/>
      </c>
      <c r="E7" s="16" t="str">
        <f aca="false">IFERROR(04_DuBao_12T!$E$32*INDEX(Data!$B$39:$AQ$39,MATCH($A7,Data!$B$1:$AQ$1,0))/1000,"")</f>
        <v/>
      </c>
      <c r="F7" s="16" t="str">
        <f aca="false">IFERROR(04_DuBao_12T!$E$33*INDEX(Data!$B$39:$AQ$39,MATCH($A7,Data!$B$1:$AQ$1,0))/1000,"")</f>
        <v/>
      </c>
      <c r="G7" s="16" t="str">
        <f aca="false">IFERROR(04_DuBao_12T!$E$34*INDEX(Data!$B$39:$AQ$39,MATCH($A7,Data!$B$1:$AQ$1,0))/1000,"")</f>
        <v/>
      </c>
      <c r="H7" s="16" t="str">
        <f aca="false">IFERROR(04_DuBao_12T!$E$35*INDEX(Data!$B$39:$AQ$39,MATCH($A7,Data!$B$1:$AQ$1,0))/1000,"")</f>
        <v/>
      </c>
      <c r="I7" s="16" t="str">
        <f aca="false">IFERROR(04_DuBao_12T!$E$36*INDEX(Data!$B$39:$AQ$39,MATCH($A7,Data!$B$1:$AQ$1,0))/1000,"")</f>
        <v/>
      </c>
      <c r="J7" s="16" t="str">
        <f aca="false">IFERROR(04_DuBao_12T!$E$37*INDEX(Data!$B$39:$AQ$39,MATCH($A7,Data!$B$1:$AQ$1,0))/1000,"")</f>
        <v/>
      </c>
      <c r="K7" s="16" t="str">
        <f aca="false">IFERROR(04_DuBao_12T!$E$38*INDEX(Data!$B$39:$AQ$39,MATCH($A7,Data!$B$1:$AQ$1,0))/1000,"")</f>
        <v/>
      </c>
      <c r="L7" s="16" t="str">
        <f aca="false">IFERROR(04_DuBao_12T!$E$39*INDEX(Data!$B$39:$AQ$39,MATCH($A7,Data!$B$1:$AQ$1,0))/1000,"")</f>
        <v/>
      </c>
      <c r="M7" s="16" t="str">
        <f aca="false">IFERROR(04_DuBao_12T!$E$40*INDEX(Data!$B$39:$AQ$39,MATCH($A7,Data!$B$1:$AQ$1,0))/1000,"")</f>
        <v/>
      </c>
      <c r="N7" s="16" t="n">
        <f aca="false">SUM(B7:M7)</f>
        <v>0</v>
      </c>
    </row>
    <row r="8" customFormat="false" ht="15" hidden="false" customHeight="false" outlineLevel="0" collapsed="false">
      <c r="A8" s="14" t="n">
        <f aca="false">01_Portfolio!E$5</f>
        <v>0</v>
      </c>
      <c r="B8" s="16" t="str">
        <f aca="false">IFERROR(04_DuBao_12T!$E$41*INDEX(Data!$B$39:$AQ$39,MATCH($A8,Data!$B$1:$AQ$1,0))/1000,"")</f>
        <v/>
      </c>
      <c r="C8" s="16" t="str">
        <f aca="false">IFERROR(04_DuBao_12T!$E$42*INDEX(Data!$B$39:$AQ$39,MATCH($A8,Data!$B$1:$AQ$1,0))/1000,"")</f>
        <v/>
      </c>
      <c r="D8" s="16" t="str">
        <f aca="false">IFERROR(04_DuBao_12T!$E$43*INDEX(Data!$B$39:$AQ$39,MATCH($A8,Data!$B$1:$AQ$1,0))/1000,"")</f>
        <v/>
      </c>
      <c r="E8" s="16" t="str">
        <f aca="false">IFERROR(04_DuBao_12T!$E$44*INDEX(Data!$B$39:$AQ$39,MATCH($A8,Data!$B$1:$AQ$1,0))/1000,"")</f>
        <v/>
      </c>
      <c r="F8" s="16" t="str">
        <f aca="false">IFERROR(04_DuBao_12T!$E$45*INDEX(Data!$B$39:$AQ$39,MATCH($A8,Data!$B$1:$AQ$1,0))/1000,"")</f>
        <v/>
      </c>
      <c r="G8" s="16" t="str">
        <f aca="false">IFERROR(04_DuBao_12T!$E$46*INDEX(Data!$B$39:$AQ$39,MATCH($A8,Data!$B$1:$AQ$1,0))/1000,"")</f>
        <v/>
      </c>
      <c r="H8" s="16" t="str">
        <f aca="false">IFERROR(04_DuBao_12T!$E$47*INDEX(Data!$B$39:$AQ$39,MATCH($A8,Data!$B$1:$AQ$1,0))/1000,"")</f>
        <v/>
      </c>
      <c r="I8" s="16" t="str">
        <f aca="false">IFERROR(04_DuBao_12T!$E$48*INDEX(Data!$B$39:$AQ$39,MATCH($A8,Data!$B$1:$AQ$1,0))/1000,"")</f>
        <v/>
      </c>
      <c r="J8" s="16" t="str">
        <f aca="false">IFERROR(04_DuBao_12T!$E$49*INDEX(Data!$B$39:$AQ$39,MATCH($A8,Data!$B$1:$AQ$1,0))/1000,"")</f>
        <v/>
      </c>
      <c r="K8" s="16" t="str">
        <f aca="false">IFERROR(04_DuBao_12T!$E$50*INDEX(Data!$B$39:$AQ$39,MATCH($A8,Data!$B$1:$AQ$1,0))/1000,"")</f>
        <v/>
      </c>
      <c r="L8" s="16" t="str">
        <f aca="false">IFERROR(04_DuBao_12T!$E$51*INDEX(Data!$B$39:$AQ$39,MATCH($A8,Data!$B$1:$AQ$1,0))/1000,"")</f>
        <v/>
      </c>
      <c r="M8" s="16" t="str">
        <f aca="false">IFERROR(04_DuBao_12T!$E$52*INDEX(Data!$B$39:$AQ$39,MATCH($A8,Data!$B$1:$AQ$1,0))/1000,"")</f>
        <v/>
      </c>
      <c r="N8" s="16" t="n">
        <f aca="false">SUM(B8:M8)</f>
        <v>0</v>
      </c>
    </row>
    <row r="9" customFormat="false" ht="15" hidden="false" customHeight="false" outlineLevel="0" collapsed="false">
      <c r="A9" s="14" t="n">
        <f aca="false">01_Portfolio!F$5</f>
        <v>0</v>
      </c>
      <c r="B9" s="16" t="str">
        <f aca="false">IFERROR(04_DuBao_12T!$E$53*INDEX(Data!$B$39:$AQ$39,MATCH($A9,Data!$B$1:$AQ$1,0))/1000,"")</f>
        <v/>
      </c>
      <c r="C9" s="16" t="str">
        <f aca="false">IFERROR(04_DuBao_12T!$E$54*INDEX(Data!$B$39:$AQ$39,MATCH($A9,Data!$B$1:$AQ$1,0))/1000,"")</f>
        <v/>
      </c>
      <c r="D9" s="16" t="str">
        <f aca="false">IFERROR(04_DuBao_12T!$E$55*INDEX(Data!$B$39:$AQ$39,MATCH($A9,Data!$B$1:$AQ$1,0))/1000,"")</f>
        <v/>
      </c>
      <c r="E9" s="16" t="str">
        <f aca="false">IFERROR(04_DuBao_12T!$E$56*INDEX(Data!$B$39:$AQ$39,MATCH($A9,Data!$B$1:$AQ$1,0))/1000,"")</f>
        <v/>
      </c>
      <c r="F9" s="16" t="str">
        <f aca="false">IFERROR(04_DuBao_12T!$E$57*INDEX(Data!$B$39:$AQ$39,MATCH($A9,Data!$B$1:$AQ$1,0))/1000,"")</f>
        <v/>
      </c>
      <c r="G9" s="16" t="str">
        <f aca="false">IFERROR(04_DuBao_12T!$E$58*INDEX(Data!$B$39:$AQ$39,MATCH($A9,Data!$B$1:$AQ$1,0))/1000,"")</f>
        <v/>
      </c>
      <c r="H9" s="16" t="str">
        <f aca="false">IFERROR(04_DuBao_12T!$E$59*INDEX(Data!$B$39:$AQ$39,MATCH($A9,Data!$B$1:$AQ$1,0))/1000,"")</f>
        <v/>
      </c>
      <c r="I9" s="16" t="str">
        <f aca="false">IFERROR(04_DuBao_12T!$E$60*INDEX(Data!$B$39:$AQ$39,MATCH($A9,Data!$B$1:$AQ$1,0))/1000,"")</f>
        <v/>
      </c>
      <c r="J9" s="16" t="str">
        <f aca="false">IFERROR(04_DuBao_12T!$E$61*INDEX(Data!$B$39:$AQ$39,MATCH($A9,Data!$B$1:$AQ$1,0))/1000,"")</f>
        <v/>
      </c>
      <c r="K9" s="16" t="str">
        <f aca="false">IFERROR(04_DuBao_12T!$E$62*INDEX(Data!$B$39:$AQ$39,MATCH($A9,Data!$B$1:$AQ$1,0))/1000,"")</f>
        <v/>
      </c>
      <c r="L9" s="16" t="str">
        <f aca="false">IFERROR(04_DuBao_12T!$E$63*INDEX(Data!$B$39:$AQ$39,MATCH($A9,Data!$B$1:$AQ$1,0))/1000,"")</f>
        <v/>
      </c>
      <c r="M9" s="16" t="str">
        <f aca="false">IFERROR(04_DuBao_12T!$E$64*INDEX(Data!$B$39:$AQ$39,MATCH($A9,Data!$B$1:$AQ$1,0))/1000,"")</f>
        <v/>
      </c>
      <c r="N9" s="16" t="n">
        <f aca="false">SUM(B9:M9)</f>
        <v>0</v>
      </c>
    </row>
    <row r="10" customFormat="false" ht="15" hidden="false" customHeight="false" outlineLevel="0" collapsed="false">
      <c r="A10" s="14" t="n">
        <f aca="false">01_Portfolio!G$5</f>
        <v>0</v>
      </c>
      <c r="B10" s="16" t="str">
        <f aca="false">IFERROR(04_DuBao_12T!$E$65*INDEX(Data!$B$39:$AQ$39,MATCH($A10,Data!$B$1:$AQ$1,0))/1000,"")</f>
        <v/>
      </c>
      <c r="C10" s="16" t="str">
        <f aca="false">IFERROR(04_DuBao_12T!$E$66*INDEX(Data!$B$39:$AQ$39,MATCH($A10,Data!$B$1:$AQ$1,0))/1000,"")</f>
        <v/>
      </c>
      <c r="D10" s="16" t="str">
        <f aca="false">IFERROR(04_DuBao_12T!$E$67*INDEX(Data!$B$39:$AQ$39,MATCH($A10,Data!$B$1:$AQ$1,0))/1000,"")</f>
        <v/>
      </c>
      <c r="E10" s="16" t="str">
        <f aca="false">IFERROR(04_DuBao_12T!$E$68*INDEX(Data!$B$39:$AQ$39,MATCH($A10,Data!$B$1:$AQ$1,0))/1000,"")</f>
        <v/>
      </c>
      <c r="F10" s="16" t="str">
        <f aca="false">IFERROR(04_DuBao_12T!$E$69*INDEX(Data!$B$39:$AQ$39,MATCH($A10,Data!$B$1:$AQ$1,0))/1000,"")</f>
        <v/>
      </c>
      <c r="G10" s="16" t="str">
        <f aca="false">IFERROR(04_DuBao_12T!$E$70*INDEX(Data!$B$39:$AQ$39,MATCH($A10,Data!$B$1:$AQ$1,0))/1000,"")</f>
        <v/>
      </c>
      <c r="H10" s="16" t="str">
        <f aca="false">IFERROR(04_DuBao_12T!$E$71*INDEX(Data!$B$39:$AQ$39,MATCH($A10,Data!$B$1:$AQ$1,0))/1000,"")</f>
        <v/>
      </c>
      <c r="I10" s="16" t="str">
        <f aca="false">IFERROR(04_DuBao_12T!$E$72*INDEX(Data!$B$39:$AQ$39,MATCH($A10,Data!$B$1:$AQ$1,0))/1000,"")</f>
        <v/>
      </c>
      <c r="J10" s="16" t="str">
        <f aca="false">IFERROR(04_DuBao_12T!$E$73*INDEX(Data!$B$39:$AQ$39,MATCH($A10,Data!$B$1:$AQ$1,0))/1000,"")</f>
        <v/>
      </c>
      <c r="K10" s="16" t="str">
        <f aca="false">IFERROR(04_DuBao_12T!$E$74*INDEX(Data!$B$39:$AQ$39,MATCH($A10,Data!$B$1:$AQ$1,0))/1000,"")</f>
        <v/>
      </c>
      <c r="L10" s="16" t="str">
        <f aca="false">IFERROR(04_DuBao_12T!$E$75*INDEX(Data!$B$39:$AQ$39,MATCH($A10,Data!$B$1:$AQ$1,0))/1000,"")</f>
        <v/>
      </c>
      <c r="M10" s="16" t="str">
        <f aca="false">IFERROR(04_DuBao_12T!$E$76*INDEX(Data!$B$39:$AQ$39,MATCH($A10,Data!$B$1:$AQ$1,0))/1000,"")</f>
        <v/>
      </c>
      <c r="N10" s="16" t="n">
        <f aca="false">SUM(B10:M10)</f>
        <v>0</v>
      </c>
    </row>
    <row r="11" customFormat="false" ht="15" hidden="false" customHeight="false" outlineLevel="0" collapsed="false">
      <c r="A11" s="7" t="s">
        <v>199</v>
      </c>
      <c r="B11" s="16" t="n">
        <f aca="false">SUM(B5:B10)</f>
        <v>0</v>
      </c>
      <c r="C11" s="16" t="n">
        <f aca="false">SUM(C5:C10)</f>
        <v>0</v>
      </c>
      <c r="D11" s="16" t="n">
        <f aca="false">SUM(D5:D10)</f>
        <v>0</v>
      </c>
      <c r="E11" s="16" t="n">
        <f aca="false">SUM(E5:E10)</f>
        <v>0</v>
      </c>
      <c r="F11" s="16" t="n">
        <f aca="false">SUM(F5:F10)</f>
        <v>0</v>
      </c>
      <c r="G11" s="16" t="n">
        <f aca="false">SUM(G5:G10)</f>
        <v>0</v>
      </c>
      <c r="H11" s="16" t="n">
        <f aca="false">SUM(H5:H10)</f>
        <v>0</v>
      </c>
      <c r="I11" s="16" t="n">
        <f aca="false">SUM(I5:I10)</f>
        <v>0</v>
      </c>
      <c r="J11" s="16" t="n">
        <f aca="false">SUM(J5:J10)</f>
        <v>0</v>
      </c>
      <c r="K11" s="16" t="n">
        <f aca="false">SUM(K5:K10)</f>
        <v>0</v>
      </c>
      <c r="L11" s="16" t="n">
        <f aca="false">SUM(L5:L10)</f>
        <v>0</v>
      </c>
      <c r="M11" s="16" t="n">
        <f aca="false">SUM(M5:M10)</f>
        <v>0</v>
      </c>
      <c r="N11" s="16" t="n">
        <f aca="false">SUM(N5:N10)</f>
        <v>0</v>
      </c>
    </row>
    <row r="13" customFormat="false" ht="30" hidden="false" customHeight="true" outlineLevel="0" collapsed="false">
      <c r="A13" s="7" t="s">
        <v>200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customFormat="false" ht="30" hidden="false" customHeight="true" outlineLevel="0" collapsed="false">
      <c r="A14" s="7" t="s">
        <v>201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customFormat="false" ht="30" hidden="false" customHeight="true" outlineLevel="0" collapsed="false">
      <c r="A15" s="7" t="s">
        <v>202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customFormat="false" ht="30" hidden="false" customHeight="true" outlineLevel="0" collapsed="false">
      <c r="A16" s="7" t="s">
        <v>203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</sheetData>
  <mergeCells count="4">
    <mergeCell ref="B13:N13"/>
    <mergeCell ref="B14:N14"/>
    <mergeCell ref="B15:N15"/>
    <mergeCell ref="B16:N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</cols>
  <sheetData>
    <row r="1" customFormat="false" ht="30" hidden="false" customHeight="true" outlineLevel="0" collapsed="false">
      <c r="A1" s="1" t="s">
        <v>204</v>
      </c>
    </row>
    <row r="2" customFormat="false" ht="15" hidden="false" customHeight="false" outlineLevel="0" collapsed="false">
      <c r="A2" s="2" t="s">
        <v>205</v>
      </c>
    </row>
    <row r="4" customFormat="false" ht="15" hidden="false" customHeight="false" outlineLevel="0" collapsed="false">
      <c r="A4" s="6" t="s">
        <v>206</v>
      </c>
      <c r="B4" s="6" t="s">
        <v>207</v>
      </c>
    </row>
    <row r="5" customFormat="false" ht="15" hidden="false" customHeight="false" outlineLevel="0" collapsed="false">
      <c r="A5" s="8" t="s">
        <v>208</v>
      </c>
      <c r="B5" s="25"/>
    </row>
    <row r="6" customFormat="false" ht="23.85" hidden="false" customHeight="false" outlineLevel="0" collapsed="false">
      <c r="A6" s="8" t="s">
        <v>209</v>
      </c>
      <c r="B6" s="25"/>
    </row>
    <row r="7" customFormat="false" ht="23.85" hidden="false" customHeight="false" outlineLevel="0" collapsed="false">
      <c r="A7" s="8" t="s">
        <v>210</v>
      </c>
      <c r="B7" s="25"/>
    </row>
    <row r="8" customFormat="false" ht="23.85" hidden="false" customHeight="false" outlineLevel="0" collapsed="false">
      <c r="A8" s="8" t="s">
        <v>211</v>
      </c>
      <c r="B8" s="25"/>
    </row>
    <row r="9" customFormat="false" ht="15" hidden="false" customHeight="false" outlineLevel="0" collapsed="false">
      <c r="A9" s="8" t="s">
        <v>212</v>
      </c>
      <c r="B9" s="25"/>
    </row>
    <row r="10" customFormat="false" ht="23.85" hidden="false" customHeight="false" outlineLevel="0" collapsed="false">
      <c r="A10" s="8" t="s">
        <v>213</v>
      </c>
      <c r="B10" s="25"/>
    </row>
    <row r="11" customFormat="false" ht="15" hidden="false" customHeight="false" outlineLevel="0" collapsed="false">
      <c r="A11" s="8" t="s">
        <v>214</v>
      </c>
      <c r="B11" s="25"/>
    </row>
    <row r="12" customFormat="false" ht="15" hidden="false" customHeight="false" outlineLevel="0" collapsed="false">
      <c r="A12" s="8" t="s">
        <v>215</v>
      </c>
      <c r="B12" s="25"/>
    </row>
    <row r="13" customFormat="false" ht="15" hidden="false" customHeight="false" outlineLevel="0" collapsed="false">
      <c r="A13" s="8" t="s">
        <v>216</v>
      </c>
      <c r="B13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2026-10-24T23:10:29Z</dcterms:created>
  <dc:creator>openpyxl</dc:creator>
  <dc:description/>
  <dc:language>en-US</dc:language>
  <cp:lastModifiedBy/>
  <dcterms:modified xsi:type="dcterms:W3CDTF">2026-10-24T23:10:29Z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