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Bai1_N01_GT" sheetId="2" state="visible" r:id="rId4"/>
    <sheet name="Bai1_N03_GT" sheetId="3" state="visible" r:id="rId5"/>
    <sheet name="Bai1_N04_GT" sheetId="4" state="visible" r:id="rId6"/>
    <sheet name="Bai2_CuonChieu" sheetId="5" state="visible" r:id="rId7"/>
    <sheet name="Bai3_SoSan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F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5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6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7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8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9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40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J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K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L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5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6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7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8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9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40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Q5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6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7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F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5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6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7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8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9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40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J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K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L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5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6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7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8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9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40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Q5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6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7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1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5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6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7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8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29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0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1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2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3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E34" authorId="0">
      <text>
        <r>
          <rPr>
            <sz val="10"/>
            <rFont val="Arial"/>
            <family val="2"/>
          </rPr>
          <t xml:space="preserve">L = α×Actual + (1−α)×L trước</t>
        </r>
      </text>
    </comment>
    <comment ref="F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1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5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6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7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8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29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0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1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2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3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4" authorId="0">
      <text>
        <r>
          <rPr>
            <sz val="10"/>
            <rFont val="Arial"/>
            <family val="2"/>
          </rPr>
          <t xml:space="preserve">SES: dự báo tháng t = mức L tháng t−1</t>
        </r>
      </text>
    </comment>
    <comment ref="F35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6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7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8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39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F40" authorId="0">
      <text>
        <r>
          <rPr>
            <sz val="10"/>
            <rFont val="Arial"/>
            <family val="2"/>
          </rPr>
          <t xml:space="preserve">Test: dự báo cố định = L cuối train</t>
        </r>
      </text>
    </comment>
    <comment ref="J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1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5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6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7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8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29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0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1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2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3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J34" authorId="0">
      <text>
        <r>
          <rPr>
            <sz val="10"/>
            <rFont val="Arial"/>
            <family val="2"/>
          </rPr>
          <t xml:space="preserve">L = α×Actual + (1−α)×(L trước + T trước)</t>
        </r>
      </text>
    </comment>
    <comment ref="K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1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5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6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7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8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29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0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1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2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3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K34" authorId="0">
      <text>
        <r>
          <rPr>
            <sz val="10"/>
            <rFont val="Arial"/>
            <family val="2"/>
          </rPr>
          <t xml:space="preserve">T = β×(L − L trước) + (1−β)×T trước</t>
        </r>
      </text>
    </comment>
    <comment ref="L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1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5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6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7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8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29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0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1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2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3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4" authorId="0">
      <text>
        <r>
          <rPr>
            <sz val="10"/>
            <rFont val="Arial"/>
            <family val="2"/>
          </rPr>
          <t xml:space="preserve">Holt: F = L trước + T trước</t>
        </r>
      </text>
    </comment>
    <comment ref="L35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6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7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8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39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L40" authorId="0">
      <text>
        <r>
          <rPr>
            <sz val="10"/>
            <rFont val="Arial"/>
            <family val="2"/>
          </rPr>
          <t xml:space="preserve">Test: L cuối train + h × T cuối train</t>
        </r>
      </text>
    </comment>
    <comment ref="Q5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6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  <comment ref="Q7" authorId="0">
      <text>
        <r>
          <rPr>
            <sz val="10"/>
            <rFont val="Arial"/>
            <family val="2"/>
          </rPr>
          <t xml:space="preserve">Giá trị khởi đầu — hãy chạy Solver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5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D36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D37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D38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D39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D40" authorId="0">
      <text>
        <r>
          <rPr>
            <sz val="10"/>
            <rFont val="Arial"/>
            <family val="2"/>
          </rPr>
          <t xml:space="preserve">Lag-1 = L của tháng trước</t>
        </r>
      </text>
    </comment>
    <comment ref="E35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  <comment ref="E36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  <comment ref="E37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  <comment ref="E38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  <comment ref="E39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  <comment ref="E40" authorId="0">
      <text>
        <r>
          <rPr>
            <sz val="10"/>
            <rFont val="Arial"/>
            <family val="2"/>
          </rPr>
          <t xml:space="preserve">Lag-3 = L của 3 tháng trước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Phương pháp có WMAPE nhỏ nhất</t>
        </r>
      </text>
    </comment>
    <comment ref="E6" authorId="0">
      <text>
        <r>
          <rPr>
            <sz val="10"/>
            <rFont val="Arial"/>
            <family val="2"/>
          </rPr>
          <t xml:space="preserve">Phương pháp có WMAPE nhỏ nhất</t>
        </r>
      </text>
    </comment>
    <comment ref="E7" authorId="0">
      <text>
        <r>
          <rPr>
            <sz val="10"/>
            <rFont val="Arial"/>
            <family val="2"/>
          </rPr>
          <t xml:space="preserve">Phương pháp có WMAPE nhỏ nhất</t>
        </r>
      </text>
    </comment>
  </commentList>
</comments>
</file>

<file path=xl/sharedStrings.xml><?xml version="1.0" encoding="utf-8"?>
<sst xmlns="http://schemas.openxmlformats.org/spreadsheetml/2006/main" count="419" uniqueCount="133">
  <si>
    <t xml:space="preserve">BUỔI 4 · EXPONENTIAL SMOOTHING &amp; DỰ BÁO CUỐN CHIẾU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</si>
  <si>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</si>
  <si>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</si>
  <si>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</si>
  <si>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Dựng SES và Holt bằng công thức đệ quy; hiểu 'dự báo mới = dự báo cũ + α × sai số'.</t>
  </si>
  <si>
    <t xml:space="preserve">Dùng Solver chọn tham số trên TRAIN, rồi chấm trên TEST — so với mốc Naive của Buổi 3.</t>
  </si>
  <si>
    <t xml:space="preserve">Dự báo cuốn chiếu: đo sai số ở lag-1 (chốt trước 1 tháng) và lag-3 (chốt trước 3 tháng, khi nhà máy khóa lịch).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</si>
  <si>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</si>
  <si>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</si>
  <si>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</si>
  <si>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</si>
  <si>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Bai1_N01_GT</t>
  </si>
  <si>
    <t xml:space="preserve">Mã ổn định: SES và Holt, Solver, so test.</t>
  </si>
  <si>
    <t xml:space="preserve">15'</t>
  </si>
  <si>
    <t xml:space="preserve">Bai1_N03_GT</t>
  </si>
  <si>
    <t xml:space="preserve">Mã tăng trưởng mạnh: Holt có giúp không?</t>
  </si>
  <si>
    <t xml:space="preserve">Bai1_N04_GT</t>
  </si>
  <si>
    <t xml:space="preserve">Mã đang giảm: xu hướng đi xuống.</t>
  </si>
  <si>
    <t xml:space="preserve">10'</t>
  </si>
  <si>
    <t xml:space="preserve">Bai2_CuonChieu</t>
  </si>
  <si>
    <t xml:space="preserve">SES α cố định cho N03: lag-1 vs lag-3 trên 6 tháng test; điền bảng tóm tắt.</t>
  </si>
  <si>
    <t xml:space="preserve">Bai3_SoSanh</t>
  </si>
  <si>
    <t xml:space="preserve">Bảng tổng hợp WMAPE: Naive / SES / Holt cho 3 mã; kết luận chọn mô hình.</t>
  </si>
  <si>
    <t xml:space="preserve">5'</t>
  </si>
  <si>
    <t xml:space="preserve">Dữ liệu</t>
  </si>
  <si>
    <t xml:space="preserve">demand_clean cho N01, N03, N04 kênh GT; 30 tháng train (10/2023–03/2026) + 6 tháng test (04–09/2026).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</si>
  <si>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</si>
  <si>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</si>
  <si>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</si>
  <si>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</si>
  <si>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</si>
  <si>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</si>
  <si>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</si>
  <si>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Khởi tạo: SES L₁ = y₁; Holt L₁ = y₁, T₁ = (y₄ − y₁)/3 — giống thư viện Python dpkit của khóa.</t>
  </si>
  <si>
    <t xml:space="preserve">Solver: Data → Solver (bật Add-in nếu chưa có). Set Objective = ô SSE train; By Changing = ô tham số; Min; GRG Nonlinear.</t>
  </si>
  <si>
    <t xml:space="preserve">Không tối ưu tham số trên TEST — đó là 'nhìn trước đáp án'.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</si>
  <si>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</si>
  <si>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Bài 1 · SES và Holt — N01 GT</t>
  </si>
  <si>
    <t xml:space="preserve">Tham số ở cột Q (vàng). Chạy Solver: cực tiểu SSE TRAIN bằng cách thay đổi tham số, ràng buộc 0 ≤ α ≤ 1, 0 ≤ β ≤ 0,5.</t>
  </si>
  <si>
    <t xml:space="preserve">t</t>
  </si>
  <si>
    <t xml:space="preserve">Tháng</t>
  </si>
  <si>
    <t xml:space="preserve">Actual</t>
  </si>
  <si>
    <t xml:space="preserve">Phần</t>
  </si>
  <si>
    <t xml:space="preserve">SES L</t>
  </si>
  <si>
    <t xml:space="preserve">SES F</t>
  </si>
  <si>
    <t xml:space="preserve">SES e</t>
  </si>
  <si>
    <t xml:space="preserve">SES e²</t>
  </si>
  <si>
    <t xml:space="preserve">Holt L</t>
  </si>
  <si>
    <t xml:space="preserve">Holt T</t>
  </si>
  <si>
    <t xml:space="preserve">Holt F</t>
  </si>
  <si>
    <t xml:space="preserve">Holt e</t>
  </si>
  <si>
    <t xml:space="preserve">Holt e²</t>
  </si>
  <si>
    <t xml:space="preserve">Tham số</t>
  </si>
  <si>
    <t xml:space="preserve">Giá trị</t>
  </si>
  <si>
    <t xml:space="preserve">2023-10</t>
  </si>
  <si>
    <t xml:space="preserve">Train</t>
  </si>
  <si>
    <t xml:space="preserve">α SES</t>
  </si>
  <si>
    <t xml:space="preserve">2023-11</t>
  </si>
  <si>
    <t xml:space="preserve">α Holt</t>
  </si>
  <si>
    <t xml:space="preserve">2023-12</t>
  </si>
  <si>
    <t xml:space="preserve">β Holt</t>
  </si>
  <si>
    <t xml:space="preserve">2024-01</t>
  </si>
  <si>
    <t xml:space="preserve">2024-02</t>
  </si>
  <si>
    <t xml:space="preserve">2024-03</t>
  </si>
  <si>
    <t xml:space="preserve">Kết quả</t>
  </si>
  <si>
    <t xml:space="preserve">2024-04</t>
  </si>
  <si>
    <t xml:space="preserve">SSE train — SES</t>
  </si>
  <si>
    <t xml:space="preserve">2024-05</t>
  </si>
  <si>
    <t xml:space="preserve">SSE train — Holt</t>
  </si>
  <si>
    <t xml:space="preserve">2024-06</t>
  </si>
  <si>
    <t xml:space="preserve">WMAPE test — SES</t>
  </si>
  <si>
    <t xml:space="preserve">2024-07</t>
  </si>
  <si>
    <t xml:space="preserve">WMAPE test — Holt</t>
  </si>
  <si>
    <t xml:space="preserve">2024-08</t>
  </si>
  <si>
    <t xml:space="preserve">WMAPE test — Naive (B3)</t>
  </si>
  <si>
    <t xml:space="preserve">2024-09</t>
  </si>
  <si>
    <t xml:space="preserve">Bias% test — SES</t>
  </si>
  <si>
    <t xml:space="preserve">2024-10</t>
  </si>
  <si>
    <t xml:space="preserve">Bias% test — Holt</t>
  </si>
  <si>
    <t xml:space="preserve">2024-11</t>
  </si>
  <si>
    <t xml:space="preserve">2024-12</t>
  </si>
  <si>
    <t xml:space="preserve">Bias% = ΣF/ΣA − 1 (dương = dự báo cao).</t>
  </si>
  <si>
    <t xml:space="preserve">2025-01</t>
  </si>
  <si>
    <t xml:space="preserve">Câu hỏi: α tối ưu lớn hay nhỏ? Holt có thắng SES và Naive không? Vì sao?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</si>
  <si>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</si>
  <si>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</si>
  <si>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</si>
  <si>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</si>
  <si>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</si>
  <si>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</si>
  <si>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</si>
  <si>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</si>
  <si>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</si>
  <si>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</si>
  <si>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</si>
  <si>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</si>
  <si>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</si>
  <si>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</si>
  <si>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</si>
  <si>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Test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</si>
  <si>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</si>
  <si>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</si>
  <si>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</si>
  <si>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</si>
  <si>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</si>
  <si>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Bài 1 · SES và Holt — N03 GT</t>
  </si>
  <si>
    <t xml:space="preserve">Bài 1 · SES và Holt — N04 GT</t>
  </si>
  <si>
    <t xml:space="preserve">Bài 2 · Dự báo cuốn chiếu (rolling) — N03 GT, SES α cố định</t>
  </si>
  <si>
    <t xml:space="preserve">Mỗi tháng cập nhật L bằng số thực tế mới. Lag-1: dự báo chốt cuối tháng trước. Lag-3: chốt trước 3 tháng → với SES = L của 3 tháng trước.</t>
  </si>
  <si>
    <t xml:space="preserve">L</t>
  </si>
  <si>
    <t xml:space="preserve">F lag-1</t>
  </si>
  <si>
    <t xml:space="preserve">F lag-3</t>
  </si>
  <si>
    <t xml:space="preserve">|e| lag-1</t>
  </si>
  <si>
    <t xml:space="preserve">|e| lag-3</t>
  </si>
  <si>
    <t xml:space="preserve">α (lấy từ Bài 1 N03, Solver trên train)</t>
  </si>
  <si>
    <t xml:space="preserve">Kết quả trên 6 tháng test</t>
  </si>
  <si>
    <t xml:space="preserve">WMAPE lag-1</t>
  </si>
  <si>
    <t xml:space="preserve">WMAPE lag-3</t>
  </si>
  <si>
    <t xml:space="preserve">Bias% lag-1</t>
  </si>
  <si>
    <t xml:space="preserve">Bias% lag-3</t>
  </si>
  <si>
    <t xml:space="preserve">Nhà máy khóa lịch trước 3 tháng (vùng đóng băng) → KPI độ chính xác phải đo ở lag-3, không phải lag-1.</t>
  </si>
  <si>
    <t xml:space="preserve">Mã tăng trưởng: lag-3 luôn 'đuổi theo' sau → bias âm lớn hơn. Đó là lý do cần Holt/thông tin thị trường.</t>
  </si>
  <si>
    <t xml:space="preserve">Bài 3 · Bảng so sánh WMAPE trên test</t>
  </si>
  <si>
    <t xml:space="preserve">Lấy từ ô kết quả ở các sheet Bài 1.</t>
  </si>
  <si>
    <t xml:space="preserve">Chuỗi</t>
  </si>
  <si>
    <t xml:space="preserve">Naive</t>
  </si>
  <si>
    <t xml:space="preserve">SES</t>
  </si>
  <si>
    <t xml:space="preserve">Holt</t>
  </si>
  <si>
    <t xml:space="preserve">Đề xuất</t>
  </si>
  <si>
    <t xml:space="preserve">N01 GT</t>
  </si>
  <si>
    <t xml:space="preserve">N03 GT</t>
  </si>
  <si>
    <t xml:space="preserve">N04 GT</t>
  </si>
  <si>
    <t xml:space="preserve">Lưu ý: 6 tháng test là mẫu nhỏ. Trước khi kết luận, kiểm tra thêm bằng dự báo cuốn chiếu nhiều origin (Lab · trang Smoothing).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</si>
</sst>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6" t="s">
        <v>8</v>
      </c>
      <c r="C12" s="6" t="s">
        <v>9</v>
      </c>
      <c r="D12" s="6" t="s">
        <v>10</v>
      </c>
    </row>
    <row r="13" customFormat="false" ht="15" hidden="false" customHeight="true" outlineLevel="0" collapsed="false">
      <c r="B13" s="7" t="s">
        <v>11</v>
      </c>
      <c r="C13" s="8" t="s">
        <v>12</v>
      </c>
      <c r="D13" s="9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9" t="s">
        <v>13</v>
      </c>
    </row>
    <row r="15" customFormat="false" ht="15" hidden="false" customHeight="true" outlineLevel="0" collapsed="false">
      <c r="B15" s="7" t="s">
        <v>16</v>
      </c>
      <c r="C15" s="8" t="s">
        <v>17</v>
      </c>
      <c r="D15" s="9" t="s">
        <v>18</v>
      </c>
    </row>
    <row r="16" customFormat="false" ht="30" hidden="false" customHeight="true" outlineLevel="0" collapsed="false">
      <c r="B16" s="7" t="s">
        <v>19</v>
      </c>
      <c r="C16" s="8" t="s">
        <v>20</v>
      </c>
      <c r="D16" s="9" t="s">
        <v>13</v>
      </c>
    </row>
    <row r="17" customFormat="false" ht="30" hidden="false" customHeight="true" outlineLevel="0" collapsed="false">
      <c r="B17" s="7" t="s">
        <v>21</v>
      </c>
      <c r="C17" s="8" t="s">
        <v>22</v>
      </c>
      <c r="D17" s="9" t="s">
        <v>23</v>
      </c>
    </row>
    <row r="19" customFormat="false" ht="15" hidden="false" customHeight="false" outlineLevel="0" collapsed="false">
      <c r="B19" s="3" t="s">
        <v>24</v>
      </c>
    </row>
    <row r="20" customFormat="false" ht="30" hidden="false" customHeight="true" outlineLevel="0" collapsed="false">
      <c r="C20" s="5" t="s">
        <v>25</v>
      </c>
    </row>
    <row r="22" customFormat="false" ht="15" hidden="false" customHeight="false" outlineLevel="0" collapsed="false">
      <c r="B22" s="3" t="s">
        <v>26</v>
      </c>
    </row>
    <row r="23" customFormat="false" ht="15" hidden="false" customHeight="false" outlineLevel="0" collapsed="false">
      <c r="B23" s="10" t="s">
        <v>27</v>
      </c>
      <c r="C23" s="4" t="s">
        <v>28</v>
      </c>
    </row>
    <row r="24" customFormat="false" ht="15" hidden="false" customHeight="false" outlineLevel="0" collapsed="false">
      <c r="B24" s="11" t="s">
        <v>27</v>
      </c>
      <c r="C24" s="4" t="s">
        <v>29</v>
      </c>
    </row>
    <row r="25" customFormat="false" ht="15" hidden="false" customHeight="false" outlineLevel="0" collapsed="false">
      <c r="B25" s="12" t="s">
        <v>27</v>
      </c>
      <c r="C25" s="4" t="s">
        <v>30</v>
      </c>
    </row>
    <row r="26" customFormat="false" ht="15" hidden="false" customHeight="false" outlineLevel="0" collapsed="false">
      <c r="B26" s="13" t="s">
        <v>27</v>
      </c>
      <c r="C26" s="4" t="s">
        <v>31</v>
      </c>
    </row>
    <row r="28" customFormat="false" ht="15" hidden="false" customHeight="false" outlineLevel="0" collapsed="false">
      <c r="B28" s="3" t="s">
        <v>32</v>
      </c>
    </row>
    <row r="29" customFormat="false" ht="30" hidden="false" customHeight="true" outlineLevel="0" collapsed="false">
      <c r="B29" s="4" t="s">
        <v>3</v>
      </c>
      <c r="C29" s="5" t="s">
        <v>33</v>
      </c>
    </row>
    <row r="30" customFormat="false" ht="30" hidden="false" customHeight="true" outlineLevel="0" collapsed="false">
      <c r="B30" s="4" t="s">
        <v>3</v>
      </c>
      <c r="C30" s="5" t="s">
        <v>34</v>
      </c>
    </row>
    <row r="31" customFormat="false" ht="15" hidden="false" customHeight="true" outlineLevel="0" collapsed="false">
      <c r="B31" s="4" t="s">
        <v>3</v>
      </c>
      <c r="C31" s="5" t="s">
        <v>35</v>
      </c>
    </row>
    <row r="33" customFormat="false" ht="15" hidden="false" customHeight="false" outlineLevel="0" collapsed="false">
      <c r="B3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"/>
    <col collapsed="false" customWidth="true" hidden="false" outlineLevel="0" max="16" min="16" style="0" width="26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/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P4" s="14" t="s">
        <v>52</v>
      </c>
      <c r="Q4" s="14" t="s">
        <v>53</v>
      </c>
    </row>
    <row r="5" customFormat="false" ht="15" hidden="false" customHeight="false" outlineLevel="0" collapsed="false">
      <c r="A5" s="15" t="n">
        <v>1</v>
      </c>
      <c r="B5" s="15" t="s">
        <v>54</v>
      </c>
      <c r="C5" s="16" t="n">
        <v>49518</v>
      </c>
      <c r="D5" s="15" t="s">
        <v>55</v>
      </c>
      <c r="E5" s="16" t="n">
        <f aca="false">C5</f>
        <v>49518</v>
      </c>
      <c r="J5" s="16" t="n">
        <f aca="false">C5</f>
        <v>49518</v>
      </c>
      <c r="K5" s="16" t="n">
        <f aca="false">(C8-C5)/3</f>
        <v>-844.333333333333</v>
      </c>
      <c r="P5" s="15" t="s">
        <v>56</v>
      </c>
      <c r="Q5" s="17" t="n">
        <v>0.3</v>
      </c>
    </row>
    <row r="6" customFormat="false" ht="15" hidden="false" customHeight="false" outlineLevel="0" collapsed="false">
      <c r="A6" s="15" t="n">
        <v>2</v>
      </c>
      <c r="B6" s="15" t="s">
        <v>57</v>
      </c>
      <c r="C6" s="16" t="n">
        <v>39293</v>
      </c>
      <c r="D6" s="15" t="s">
        <v>55</v>
      </c>
      <c r="E6" s="18"/>
      <c r="F6" s="18"/>
      <c r="G6" s="18"/>
      <c r="H6" s="18"/>
      <c r="J6" s="18"/>
      <c r="K6" s="18"/>
      <c r="L6" s="18"/>
      <c r="M6" s="18"/>
      <c r="N6" s="18"/>
      <c r="P6" s="15" t="s">
        <v>58</v>
      </c>
      <c r="Q6" s="17" t="n">
        <v>0.3</v>
      </c>
    </row>
    <row r="7" customFormat="false" ht="15" hidden="false" customHeight="false" outlineLevel="0" collapsed="false">
      <c r="A7" s="15" t="n">
        <v>3</v>
      </c>
      <c r="B7" s="15" t="s">
        <v>59</v>
      </c>
      <c r="C7" s="16" t="n">
        <v>36704</v>
      </c>
      <c r="D7" s="15" t="s">
        <v>55</v>
      </c>
      <c r="E7" s="18"/>
      <c r="F7" s="18"/>
      <c r="G7" s="18"/>
      <c r="H7" s="18"/>
      <c r="J7" s="18"/>
      <c r="K7" s="18"/>
      <c r="L7" s="18"/>
      <c r="M7" s="18"/>
      <c r="N7" s="18"/>
      <c r="P7" s="15" t="s">
        <v>60</v>
      </c>
      <c r="Q7" s="17" t="n">
        <v>0.1</v>
      </c>
    </row>
    <row r="8" customFormat="false" ht="15" hidden="false" customHeight="false" outlineLevel="0" collapsed="false">
      <c r="A8" s="15" t="n">
        <v>4</v>
      </c>
      <c r="B8" s="15" t="s">
        <v>61</v>
      </c>
      <c r="C8" s="16" t="n">
        <v>46985</v>
      </c>
      <c r="D8" s="15" t="s">
        <v>55</v>
      </c>
      <c r="E8" s="18"/>
      <c r="F8" s="18"/>
      <c r="G8" s="18"/>
      <c r="H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5" t="n">
        <v>5</v>
      </c>
      <c r="B9" s="15" t="s">
        <v>62</v>
      </c>
      <c r="C9" s="16" t="n">
        <v>40022</v>
      </c>
      <c r="D9" s="15" t="s">
        <v>55</v>
      </c>
      <c r="E9" s="18"/>
      <c r="F9" s="18"/>
      <c r="G9" s="18"/>
      <c r="H9" s="18"/>
      <c r="J9" s="18"/>
      <c r="K9" s="18"/>
      <c r="L9" s="18"/>
      <c r="M9" s="18"/>
      <c r="N9" s="18"/>
    </row>
    <row r="10" customFormat="false" ht="15" hidden="false" customHeight="false" outlineLevel="0" collapsed="false">
      <c r="A10" s="15" t="n">
        <v>6</v>
      </c>
      <c r="B10" s="15" t="s">
        <v>63</v>
      </c>
      <c r="C10" s="16" t="n">
        <v>39799</v>
      </c>
      <c r="D10" s="15" t="s">
        <v>55</v>
      </c>
      <c r="E10" s="18"/>
      <c r="F10" s="18"/>
      <c r="G10" s="18"/>
      <c r="H10" s="18"/>
      <c r="J10" s="18"/>
      <c r="K10" s="18"/>
      <c r="L10" s="18"/>
      <c r="M10" s="18"/>
      <c r="N10" s="18"/>
      <c r="P10" s="14" t="s">
        <v>64</v>
      </c>
      <c r="Q10" s="14"/>
    </row>
    <row r="11" customFormat="false" ht="15" hidden="false" customHeight="false" outlineLevel="0" collapsed="false">
      <c r="A11" s="15" t="n">
        <v>7</v>
      </c>
      <c r="B11" s="15" t="s">
        <v>65</v>
      </c>
      <c r="C11" s="16" t="n">
        <v>38450</v>
      </c>
      <c r="D11" s="15" t="s">
        <v>55</v>
      </c>
      <c r="E11" s="18"/>
      <c r="F11" s="18"/>
      <c r="G11" s="18"/>
      <c r="H11" s="18"/>
      <c r="J11" s="18"/>
      <c r="K11" s="18"/>
      <c r="L11" s="18"/>
      <c r="M11" s="18"/>
      <c r="N11" s="18"/>
      <c r="P11" s="15" t="s">
        <v>66</v>
      </c>
      <c r="Q11" s="18"/>
    </row>
    <row r="12" customFormat="false" ht="15" hidden="false" customHeight="false" outlineLevel="0" collapsed="false">
      <c r="A12" s="15" t="n">
        <v>8</v>
      </c>
      <c r="B12" s="15" t="s">
        <v>67</v>
      </c>
      <c r="C12" s="16" t="n">
        <v>38657</v>
      </c>
      <c r="D12" s="15" t="s">
        <v>55</v>
      </c>
      <c r="E12" s="18"/>
      <c r="F12" s="18"/>
      <c r="G12" s="18"/>
      <c r="H12" s="18"/>
      <c r="J12" s="18"/>
      <c r="K12" s="18"/>
      <c r="L12" s="18"/>
      <c r="M12" s="18"/>
      <c r="N12" s="18"/>
      <c r="P12" s="15" t="s">
        <v>68</v>
      </c>
      <c r="Q12" s="18"/>
    </row>
    <row r="13" customFormat="false" ht="15" hidden="false" customHeight="false" outlineLevel="0" collapsed="false">
      <c r="A13" s="15" t="n">
        <v>9</v>
      </c>
      <c r="B13" s="15" t="s">
        <v>69</v>
      </c>
      <c r="C13" s="16" t="n">
        <v>39981</v>
      </c>
      <c r="D13" s="15" t="s">
        <v>55</v>
      </c>
      <c r="E13" s="18"/>
      <c r="F13" s="18"/>
      <c r="G13" s="18"/>
      <c r="H13" s="18"/>
      <c r="J13" s="18"/>
      <c r="K13" s="18"/>
      <c r="L13" s="18"/>
      <c r="M13" s="18"/>
      <c r="N13" s="18"/>
      <c r="P13" s="15" t="s">
        <v>70</v>
      </c>
      <c r="Q13" s="19"/>
    </row>
    <row r="14" customFormat="false" ht="15" hidden="false" customHeight="false" outlineLevel="0" collapsed="false">
      <c r="A14" s="15" t="n">
        <v>10</v>
      </c>
      <c r="B14" s="15" t="s">
        <v>71</v>
      </c>
      <c r="C14" s="16" t="n">
        <v>39408</v>
      </c>
      <c r="D14" s="15" t="s">
        <v>55</v>
      </c>
      <c r="E14" s="18"/>
      <c r="F14" s="18"/>
      <c r="G14" s="18"/>
      <c r="H14" s="18"/>
      <c r="J14" s="18"/>
      <c r="K14" s="18"/>
      <c r="L14" s="18"/>
      <c r="M14" s="18"/>
      <c r="N14" s="18"/>
      <c r="P14" s="15" t="s">
        <v>72</v>
      </c>
      <c r="Q14" s="19"/>
    </row>
    <row r="15" customFormat="false" ht="15" hidden="false" customHeight="false" outlineLevel="0" collapsed="false">
      <c r="A15" s="15" t="n">
        <v>11</v>
      </c>
      <c r="B15" s="15" t="s">
        <v>73</v>
      </c>
      <c r="C15" s="16" t="n">
        <v>53647</v>
      </c>
      <c r="D15" s="15" t="s">
        <v>55</v>
      </c>
      <c r="E15" s="18"/>
      <c r="F15" s="18"/>
      <c r="G15" s="18"/>
      <c r="H15" s="18"/>
      <c r="J15" s="18"/>
      <c r="K15" s="18"/>
      <c r="L15" s="18"/>
      <c r="M15" s="18"/>
      <c r="N15" s="18"/>
      <c r="P15" s="15" t="s">
        <v>74</v>
      </c>
      <c r="Q15" s="19"/>
    </row>
    <row r="16" customFormat="false" ht="15" hidden="false" customHeight="false" outlineLevel="0" collapsed="false">
      <c r="A16" s="15" t="n">
        <v>12</v>
      </c>
      <c r="B16" s="15" t="s">
        <v>75</v>
      </c>
      <c r="C16" s="16" t="n">
        <v>51728</v>
      </c>
      <c r="D16" s="15" t="s">
        <v>55</v>
      </c>
      <c r="E16" s="18"/>
      <c r="F16" s="18"/>
      <c r="G16" s="18"/>
      <c r="H16" s="18"/>
      <c r="J16" s="18"/>
      <c r="K16" s="18"/>
      <c r="L16" s="18"/>
      <c r="M16" s="18"/>
      <c r="N16" s="18"/>
      <c r="P16" s="15" t="s">
        <v>76</v>
      </c>
      <c r="Q16" s="19"/>
    </row>
    <row r="17" customFormat="false" ht="15" hidden="false" customHeight="false" outlineLevel="0" collapsed="false">
      <c r="A17" s="15" t="n">
        <v>13</v>
      </c>
      <c r="B17" s="15" t="s">
        <v>77</v>
      </c>
      <c r="C17" s="16" t="n">
        <v>48357</v>
      </c>
      <c r="D17" s="15" t="s">
        <v>55</v>
      </c>
      <c r="E17" s="18"/>
      <c r="F17" s="18"/>
      <c r="G17" s="18"/>
      <c r="H17" s="18"/>
      <c r="J17" s="18"/>
      <c r="K17" s="18"/>
      <c r="L17" s="18"/>
      <c r="M17" s="18"/>
      <c r="N17" s="18"/>
      <c r="P17" s="15" t="s">
        <v>78</v>
      </c>
      <c r="Q17" s="19"/>
    </row>
    <row r="18" customFormat="false" ht="15" hidden="false" customHeight="false" outlineLevel="0" collapsed="false">
      <c r="A18" s="15" t="n">
        <v>14</v>
      </c>
      <c r="B18" s="15" t="s">
        <v>79</v>
      </c>
      <c r="C18" s="16" t="n">
        <v>42703</v>
      </c>
      <c r="D18" s="15" t="s">
        <v>55</v>
      </c>
      <c r="E18" s="18"/>
      <c r="F18" s="18"/>
      <c r="G18" s="18"/>
      <c r="H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5" t="n">
        <v>15</v>
      </c>
      <c r="B19" s="15" t="s">
        <v>80</v>
      </c>
      <c r="C19" s="16" t="n">
        <v>44589</v>
      </c>
      <c r="D19" s="15" t="s">
        <v>55</v>
      </c>
      <c r="E19" s="18"/>
      <c r="F19" s="18"/>
      <c r="G19" s="18"/>
      <c r="H19" s="18"/>
      <c r="J19" s="18"/>
      <c r="K19" s="18"/>
      <c r="L19" s="18"/>
      <c r="M19" s="18"/>
      <c r="N19" s="18"/>
      <c r="P19" s="2" t="s">
        <v>81</v>
      </c>
    </row>
    <row r="20" customFormat="false" ht="15" hidden="false" customHeight="false" outlineLevel="0" collapsed="false">
      <c r="A20" s="15" t="n">
        <v>16</v>
      </c>
      <c r="B20" s="15" t="s">
        <v>82</v>
      </c>
      <c r="C20" s="16" t="n">
        <v>48187</v>
      </c>
      <c r="D20" s="15" t="s">
        <v>55</v>
      </c>
      <c r="E20" s="18"/>
      <c r="F20" s="18"/>
      <c r="G20" s="18"/>
      <c r="H20" s="18"/>
      <c r="J20" s="18"/>
      <c r="K20" s="18"/>
      <c r="L20" s="18"/>
      <c r="M20" s="18"/>
      <c r="N20" s="18"/>
      <c r="P20" s="2" t="s">
        <v>83</v>
      </c>
    </row>
    <row r="21" customFormat="false" ht="15" hidden="false" customHeight="false" outlineLevel="0" collapsed="false">
      <c r="A21" s="15" t="n">
        <v>17</v>
      </c>
      <c r="B21" s="15" t="s">
        <v>84</v>
      </c>
      <c r="C21" s="16" t="n">
        <v>28331</v>
      </c>
      <c r="D21" s="15" t="s">
        <v>55</v>
      </c>
      <c r="E21" s="18"/>
      <c r="F21" s="18"/>
      <c r="G21" s="18"/>
      <c r="H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5" t="n">
        <v>18</v>
      </c>
      <c r="B22" s="15" t="s">
        <v>85</v>
      </c>
      <c r="C22" s="16" t="n">
        <v>33520</v>
      </c>
      <c r="D22" s="15" t="s">
        <v>55</v>
      </c>
      <c r="E22" s="18"/>
      <c r="F22" s="18"/>
      <c r="G22" s="18"/>
      <c r="H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5" t="n">
        <v>19</v>
      </c>
      <c r="B23" s="15" t="s">
        <v>86</v>
      </c>
      <c r="C23" s="16" t="n">
        <v>30987</v>
      </c>
      <c r="D23" s="15" t="s">
        <v>55</v>
      </c>
      <c r="E23" s="18"/>
      <c r="F23" s="18"/>
      <c r="G23" s="18"/>
      <c r="H23" s="18"/>
      <c r="J23" s="18"/>
      <c r="K23" s="18"/>
      <c r="L23" s="18"/>
      <c r="M23" s="18"/>
      <c r="N23" s="18"/>
    </row>
    <row r="24" customFormat="false" ht="15" hidden="false" customHeight="false" outlineLevel="0" collapsed="false">
      <c r="A24" s="15" t="n">
        <v>20</v>
      </c>
      <c r="B24" s="15" t="s">
        <v>87</v>
      </c>
      <c r="C24" s="16" t="n">
        <v>29792</v>
      </c>
      <c r="D24" s="15" t="s">
        <v>55</v>
      </c>
      <c r="E24" s="18"/>
      <c r="F24" s="18"/>
      <c r="G24" s="18"/>
      <c r="H24" s="18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5" t="n">
        <v>21</v>
      </c>
      <c r="B25" s="15" t="s">
        <v>88</v>
      </c>
      <c r="C25" s="16" t="n">
        <v>35593</v>
      </c>
      <c r="D25" s="15" t="s">
        <v>55</v>
      </c>
      <c r="E25" s="18"/>
      <c r="F25" s="18"/>
      <c r="G25" s="18"/>
      <c r="H25" s="18"/>
      <c r="J25" s="18"/>
      <c r="K25" s="18"/>
      <c r="L25" s="18"/>
      <c r="M25" s="18"/>
      <c r="N25" s="18"/>
    </row>
    <row r="26" customFormat="false" ht="15" hidden="false" customHeight="false" outlineLevel="0" collapsed="false">
      <c r="A26" s="15" t="n">
        <v>22</v>
      </c>
      <c r="B26" s="15" t="s">
        <v>89</v>
      </c>
      <c r="C26" s="16" t="n">
        <v>48734</v>
      </c>
      <c r="D26" s="15" t="s">
        <v>55</v>
      </c>
      <c r="E26" s="18"/>
      <c r="F26" s="18"/>
      <c r="G26" s="18"/>
      <c r="H26" s="18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5" t="n">
        <v>23</v>
      </c>
      <c r="B27" s="15" t="s">
        <v>90</v>
      </c>
      <c r="C27" s="16" t="n">
        <v>47459</v>
      </c>
      <c r="D27" s="15" t="s">
        <v>55</v>
      </c>
      <c r="E27" s="18"/>
      <c r="F27" s="18"/>
      <c r="G27" s="18"/>
      <c r="H27" s="18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15" t="n">
        <v>24</v>
      </c>
      <c r="B28" s="15" t="s">
        <v>91</v>
      </c>
      <c r="C28" s="16" t="n">
        <v>54745</v>
      </c>
      <c r="D28" s="15" t="s">
        <v>55</v>
      </c>
      <c r="E28" s="18"/>
      <c r="F28" s="18"/>
      <c r="G28" s="18"/>
      <c r="H28" s="18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5" t="n">
        <v>25</v>
      </c>
      <c r="B29" s="15" t="s">
        <v>92</v>
      </c>
      <c r="C29" s="16" t="n">
        <v>49986</v>
      </c>
      <c r="D29" s="15" t="s">
        <v>55</v>
      </c>
      <c r="E29" s="18"/>
      <c r="F29" s="18"/>
      <c r="G29" s="18"/>
      <c r="H29" s="18"/>
      <c r="J29" s="18"/>
      <c r="K29" s="18"/>
      <c r="L29" s="18"/>
      <c r="M29" s="18"/>
      <c r="N29" s="18"/>
    </row>
    <row r="30" customFormat="false" ht="15" hidden="false" customHeight="false" outlineLevel="0" collapsed="false">
      <c r="A30" s="15" t="n">
        <v>26</v>
      </c>
      <c r="B30" s="15" t="s">
        <v>93</v>
      </c>
      <c r="C30" s="16" t="n">
        <v>46973</v>
      </c>
      <c r="D30" s="15" t="s">
        <v>55</v>
      </c>
      <c r="E30" s="18"/>
      <c r="F30" s="18"/>
      <c r="G30" s="18"/>
      <c r="H30" s="18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5" t="n">
        <v>27</v>
      </c>
      <c r="B31" s="15" t="s">
        <v>94</v>
      </c>
      <c r="C31" s="16" t="n">
        <v>41917</v>
      </c>
      <c r="D31" s="15" t="s">
        <v>55</v>
      </c>
      <c r="E31" s="18"/>
      <c r="F31" s="18"/>
      <c r="G31" s="18"/>
      <c r="H31" s="18"/>
      <c r="J31" s="18"/>
      <c r="K31" s="18"/>
      <c r="L31" s="18"/>
      <c r="M31" s="18"/>
      <c r="N31" s="18"/>
    </row>
    <row r="32" customFormat="false" ht="15" hidden="false" customHeight="false" outlineLevel="0" collapsed="false">
      <c r="A32" s="15" t="n">
        <v>28</v>
      </c>
      <c r="B32" s="15" t="s">
        <v>95</v>
      </c>
      <c r="C32" s="16" t="n">
        <v>53192</v>
      </c>
      <c r="D32" s="15" t="s">
        <v>55</v>
      </c>
      <c r="E32" s="18"/>
      <c r="F32" s="18"/>
      <c r="G32" s="18"/>
      <c r="H32" s="18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5" t="n">
        <v>29</v>
      </c>
      <c r="B33" s="15" t="s">
        <v>96</v>
      </c>
      <c r="C33" s="16" t="n">
        <v>49180</v>
      </c>
      <c r="D33" s="15" t="s">
        <v>55</v>
      </c>
      <c r="E33" s="18"/>
      <c r="F33" s="18"/>
      <c r="G33" s="18"/>
      <c r="H33" s="18"/>
      <c r="J33" s="18"/>
      <c r="K33" s="18"/>
      <c r="L33" s="18"/>
      <c r="M33" s="18"/>
      <c r="N33" s="18"/>
    </row>
    <row r="34" customFormat="false" ht="15" hidden="false" customHeight="false" outlineLevel="0" collapsed="false">
      <c r="A34" s="15" t="n">
        <v>30</v>
      </c>
      <c r="B34" s="15" t="s">
        <v>97</v>
      </c>
      <c r="C34" s="16" t="n">
        <v>43881</v>
      </c>
      <c r="D34" s="15" t="s">
        <v>55</v>
      </c>
      <c r="E34" s="18"/>
      <c r="F34" s="18"/>
      <c r="G34" s="18"/>
      <c r="H34" s="18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5" t="n">
        <v>31</v>
      </c>
      <c r="B35" s="12" t="s">
        <v>98</v>
      </c>
      <c r="C35" s="20" t="n">
        <v>44237</v>
      </c>
      <c r="D35" s="12" t="s">
        <v>99</v>
      </c>
      <c r="F35" s="18"/>
      <c r="G35" s="18"/>
      <c r="L35" s="18"/>
      <c r="M35" s="18"/>
    </row>
    <row r="36" customFormat="false" ht="15" hidden="false" customHeight="false" outlineLevel="0" collapsed="false">
      <c r="A36" s="15" t="n">
        <v>32</v>
      </c>
      <c r="B36" s="12" t="s">
        <v>100</v>
      </c>
      <c r="C36" s="20" t="n">
        <v>45996</v>
      </c>
      <c r="D36" s="12" t="s">
        <v>99</v>
      </c>
      <c r="F36" s="18"/>
      <c r="G36" s="18"/>
      <c r="L36" s="18"/>
      <c r="M36" s="18"/>
    </row>
    <row r="37" customFormat="false" ht="15" hidden="false" customHeight="false" outlineLevel="0" collapsed="false">
      <c r="A37" s="15" t="n">
        <v>33</v>
      </c>
      <c r="B37" s="12" t="s">
        <v>101</v>
      </c>
      <c r="C37" s="20" t="n">
        <v>44430</v>
      </c>
      <c r="D37" s="12" t="s">
        <v>99</v>
      </c>
      <c r="F37" s="18"/>
      <c r="G37" s="18"/>
      <c r="L37" s="18"/>
      <c r="M37" s="18"/>
    </row>
    <row r="38" customFormat="false" ht="15" hidden="false" customHeight="false" outlineLevel="0" collapsed="false">
      <c r="A38" s="15" t="n">
        <v>34</v>
      </c>
      <c r="B38" s="12" t="s">
        <v>102</v>
      </c>
      <c r="C38" s="20" t="n">
        <v>42911</v>
      </c>
      <c r="D38" s="12" t="s">
        <v>99</v>
      </c>
      <c r="F38" s="18"/>
      <c r="G38" s="18"/>
      <c r="L38" s="18"/>
      <c r="M38" s="18"/>
    </row>
    <row r="39" customFormat="false" ht="15" hidden="false" customHeight="false" outlineLevel="0" collapsed="false">
      <c r="A39" s="15" t="n">
        <v>35</v>
      </c>
      <c r="B39" s="12" t="s">
        <v>103</v>
      </c>
      <c r="C39" s="20" t="n">
        <v>41679</v>
      </c>
      <c r="D39" s="12" t="s">
        <v>99</v>
      </c>
      <c r="F39" s="18"/>
      <c r="G39" s="18"/>
      <c r="L39" s="18"/>
      <c r="M39" s="18"/>
    </row>
    <row r="40" customFormat="false" ht="15" hidden="false" customHeight="false" outlineLevel="0" collapsed="false">
      <c r="A40" s="15" t="n">
        <v>36</v>
      </c>
      <c r="B40" s="12" t="s">
        <v>104</v>
      </c>
      <c r="C40" s="20" t="n">
        <v>48338</v>
      </c>
      <c r="D40" s="12" t="s">
        <v>99</v>
      </c>
      <c r="F40" s="18"/>
      <c r="G40" s="18"/>
      <c r="L40" s="18"/>
      <c r="M4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"/>
    <col collapsed="false" customWidth="true" hidden="false" outlineLevel="0" max="16" min="16" style="0" width="26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/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P4" s="14" t="s">
        <v>52</v>
      </c>
      <c r="Q4" s="14" t="s">
        <v>53</v>
      </c>
    </row>
    <row r="5" customFormat="false" ht="15" hidden="false" customHeight="false" outlineLevel="0" collapsed="false">
      <c r="A5" s="15" t="n">
        <v>1</v>
      </c>
      <c r="B5" s="15" t="s">
        <v>54</v>
      </c>
      <c r="C5" s="16" t="n">
        <v>4104</v>
      </c>
      <c r="D5" s="15" t="s">
        <v>55</v>
      </c>
      <c r="E5" s="16" t="n">
        <f aca="false">C5</f>
        <v>4104</v>
      </c>
      <c r="J5" s="16" t="n">
        <f aca="false">C5</f>
        <v>4104</v>
      </c>
      <c r="K5" s="16" t="n">
        <f aca="false">(C8-C5)/3</f>
        <v>336.666666666667</v>
      </c>
      <c r="P5" s="15" t="s">
        <v>56</v>
      </c>
      <c r="Q5" s="17" t="n">
        <v>0.3</v>
      </c>
    </row>
    <row r="6" customFormat="false" ht="15" hidden="false" customHeight="false" outlineLevel="0" collapsed="false">
      <c r="A6" s="15" t="n">
        <v>2</v>
      </c>
      <c r="B6" s="15" t="s">
        <v>57</v>
      </c>
      <c r="C6" s="16" t="n">
        <v>4659</v>
      </c>
      <c r="D6" s="15" t="s">
        <v>55</v>
      </c>
      <c r="E6" s="18"/>
      <c r="F6" s="18"/>
      <c r="G6" s="18"/>
      <c r="H6" s="18"/>
      <c r="J6" s="18"/>
      <c r="K6" s="18"/>
      <c r="L6" s="18"/>
      <c r="M6" s="18"/>
      <c r="N6" s="18"/>
      <c r="P6" s="15" t="s">
        <v>58</v>
      </c>
      <c r="Q6" s="17" t="n">
        <v>0.3</v>
      </c>
    </row>
    <row r="7" customFormat="false" ht="15" hidden="false" customHeight="false" outlineLevel="0" collapsed="false">
      <c r="A7" s="15" t="n">
        <v>3</v>
      </c>
      <c r="B7" s="15" t="s">
        <v>59</v>
      </c>
      <c r="C7" s="16" t="n">
        <v>4311</v>
      </c>
      <c r="D7" s="15" t="s">
        <v>55</v>
      </c>
      <c r="E7" s="18"/>
      <c r="F7" s="18"/>
      <c r="G7" s="18"/>
      <c r="H7" s="18"/>
      <c r="J7" s="18"/>
      <c r="K7" s="18"/>
      <c r="L7" s="18"/>
      <c r="M7" s="18"/>
      <c r="N7" s="18"/>
      <c r="P7" s="15" t="s">
        <v>60</v>
      </c>
      <c r="Q7" s="17" t="n">
        <v>0.1</v>
      </c>
    </row>
    <row r="8" customFormat="false" ht="15" hidden="false" customHeight="false" outlineLevel="0" collapsed="false">
      <c r="A8" s="15" t="n">
        <v>4</v>
      </c>
      <c r="B8" s="15" t="s">
        <v>61</v>
      </c>
      <c r="C8" s="16" t="n">
        <v>5114</v>
      </c>
      <c r="D8" s="15" t="s">
        <v>55</v>
      </c>
      <c r="E8" s="18"/>
      <c r="F8" s="18"/>
      <c r="G8" s="18"/>
      <c r="H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5" t="n">
        <v>5</v>
      </c>
      <c r="B9" s="15" t="s">
        <v>62</v>
      </c>
      <c r="C9" s="16" t="n">
        <v>3545</v>
      </c>
      <c r="D9" s="15" t="s">
        <v>55</v>
      </c>
      <c r="E9" s="18"/>
      <c r="F9" s="18"/>
      <c r="G9" s="18"/>
      <c r="H9" s="18"/>
      <c r="J9" s="18"/>
      <c r="K9" s="18"/>
      <c r="L9" s="18"/>
      <c r="M9" s="18"/>
      <c r="N9" s="18"/>
    </row>
    <row r="10" customFormat="false" ht="15" hidden="false" customHeight="false" outlineLevel="0" collapsed="false">
      <c r="A10" s="15" t="n">
        <v>6</v>
      </c>
      <c r="B10" s="15" t="s">
        <v>63</v>
      </c>
      <c r="C10" s="16" t="n">
        <v>4808</v>
      </c>
      <c r="D10" s="15" t="s">
        <v>55</v>
      </c>
      <c r="E10" s="18"/>
      <c r="F10" s="18"/>
      <c r="G10" s="18"/>
      <c r="H10" s="18"/>
      <c r="J10" s="18"/>
      <c r="K10" s="18"/>
      <c r="L10" s="18"/>
      <c r="M10" s="18"/>
      <c r="N10" s="18"/>
      <c r="P10" s="14" t="s">
        <v>64</v>
      </c>
      <c r="Q10" s="14"/>
    </row>
    <row r="11" customFormat="false" ht="15" hidden="false" customHeight="false" outlineLevel="0" collapsed="false">
      <c r="A11" s="15" t="n">
        <v>7</v>
      </c>
      <c r="B11" s="15" t="s">
        <v>65</v>
      </c>
      <c r="C11" s="16" t="n">
        <v>4860</v>
      </c>
      <c r="D11" s="15" t="s">
        <v>55</v>
      </c>
      <c r="E11" s="18"/>
      <c r="F11" s="18"/>
      <c r="G11" s="18"/>
      <c r="H11" s="18"/>
      <c r="J11" s="18"/>
      <c r="K11" s="18"/>
      <c r="L11" s="18"/>
      <c r="M11" s="18"/>
      <c r="N11" s="18"/>
      <c r="P11" s="15" t="s">
        <v>66</v>
      </c>
      <c r="Q11" s="18"/>
    </row>
    <row r="12" customFormat="false" ht="15" hidden="false" customHeight="false" outlineLevel="0" collapsed="false">
      <c r="A12" s="15" t="n">
        <v>8</v>
      </c>
      <c r="B12" s="15" t="s">
        <v>67</v>
      </c>
      <c r="C12" s="16" t="n">
        <v>4743</v>
      </c>
      <c r="D12" s="15" t="s">
        <v>55</v>
      </c>
      <c r="E12" s="18"/>
      <c r="F12" s="18"/>
      <c r="G12" s="18"/>
      <c r="H12" s="18"/>
      <c r="J12" s="18"/>
      <c r="K12" s="18"/>
      <c r="L12" s="18"/>
      <c r="M12" s="18"/>
      <c r="N12" s="18"/>
      <c r="P12" s="15" t="s">
        <v>68</v>
      </c>
      <c r="Q12" s="18"/>
    </row>
    <row r="13" customFormat="false" ht="15" hidden="false" customHeight="false" outlineLevel="0" collapsed="false">
      <c r="A13" s="15" t="n">
        <v>9</v>
      </c>
      <c r="B13" s="15" t="s">
        <v>69</v>
      </c>
      <c r="C13" s="16" t="n">
        <v>5280</v>
      </c>
      <c r="D13" s="15" t="s">
        <v>55</v>
      </c>
      <c r="E13" s="18"/>
      <c r="F13" s="18"/>
      <c r="G13" s="18"/>
      <c r="H13" s="18"/>
      <c r="J13" s="18"/>
      <c r="K13" s="18"/>
      <c r="L13" s="18"/>
      <c r="M13" s="18"/>
      <c r="N13" s="18"/>
      <c r="P13" s="15" t="s">
        <v>70</v>
      </c>
      <c r="Q13" s="19"/>
    </row>
    <row r="14" customFormat="false" ht="15" hidden="false" customHeight="false" outlineLevel="0" collapsed="false">
      <c r="A14" s="15" t="n">
        <v>10</v>
      </c>
      <c r="B14" s="15" t="s">
        <v>71</v>
      </c>
      <c r="C14" s="16" t="n">
        <v>4629</v>
      </c>
      <c r="D14" s="15" t="s">
        <v>55</v>
      </c>
      <c r="E14" s="18"/>
      <c r="F14" s="18"/>
      <c r="G14" s="18"/>
      <c r="H14" s="18"/>
      <c r="J14" s="18"/>
      <c r="K14" s="18"/>
      <c r="L14" s="18"/>
      <c r="M14" s="18"/>
      <c r="N14" s="18"/>
      <c r="P14" s="15" t="s">
        <v>72</v>
      </c>
      <c r="Q14" s="19"/>
    </row>
    <row r="15" customFormat="false" ht="15" hidden="false" customHeight="false" outlineLevel="0" collapsed="false">
      <c r="A15" s="15" t="n">
        <v>11</v>
      </c>
      <c r="B15" s="15" t="s">
        <v>73</v>
      </c>
      <c r="C15" s="16" t="n">
        <v>5694</v>
      </c>
      <c r="D15" s="15" t="s">
        <v>55</v>
      </c>
      <c r="E15" s="18"/>
      <c r="F15" s="18"/>
      <c r="G15" s="18"/>
      <c r="H15" s="18"/>
      <c r="J15" s="18"/>
      <c r="K15" s="18"/>
      <c r="L15" s="18"/>
      <c r="M15" s="18"/>
      <c r="N15" s="18"/>
      <c r="P15" s="15" t="s">
        <v>74</v>
      </c>
      <c r="Q15" s="19"/>
    </row>
    <row r="16" customFormat="false" ht="15" hidden="false" customHeight="false" outlineLevel="0" collapsed="false">
      <c r="A16" s="15" t="n">
        <v>12</v>
      </c>
      <c r="B16" s="15" t="s">
        <v>75</v>
      </c>
      <c r="C16" s="16" t="n">
        <v>5344</v>
      </c>
      <c r="D16" s="15" t="s">
        <v>55</v>
      </c>
      <c r="E16" s="18"/>
      <c r="F16" s="18"/>
      <c r="G16" s="18"/>
      <c r="H16" s="18"/>
      <c r="J16" s="18"/>
      <c r="K16" s="18"/>
      <c r="L16" s="18"/>
      <c r="M16" s="18"/>
      <c r="N16" s="18"/>
      <c r="P16" s="15" t="s">
        <v>76</v>
      </c>
      <c r="Q16" s="19"/>
    </row>
    <row r="17" customFormat="false" ht="15" hidden="false" customHeight="false" outlineLevel="0" collapsed="false">
      <c r="A17" s="15" t="n">
        <v>13</v>
      </c>
      <c r="B17" s="15" t="s">
        <v>77</v>
      </c>
      <c r="C17" s="16" t="n">
        <v>5307</v>
      </c>
      <c r="D17" s="15" t="s">
        <v>55</v>
      </c>
      <c r="E17" s="18"/>
      <c r="F17" s="18"/>
      <c r="G17" s="18"/>
      <c r="H17" s="18"/>
      <c r="J17" s="18"/>
      <c r="K17" s="18"/>
      <c r="L17" s="18"/>
      <c r="M17" s="18"/>
      <c r="N17" s="18"/>
      <c r="P17" s="15" t="s">
        <v>78</v>
      </c>
      <c r="Q17" s="19"/>
    </row>
    <row r="18" customFormat="false" ht="15" hidden="false" customHeight="false" outlineLevel="0" collapsed="false">
      <c r="A18" s="15" t="n">
        <v>14</v>
      </c>
      <c r="B18" s="15" t="s">
        <v>79</v>
      </c>
      <c r="C18" s="16" t="n">
        <v>4930</v>
      </c>
      <c r="D18" s="15" t="s">
        <v>55</v>
      </c>
      <c r="E18" s="18"/>
      <c r="F18" s="18"/>
      <c r="G18" s="18"/>
      <c r="H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5" t="n">
        <v>15</v>
      </c>
      <c r="B19" s="15" t="s">
        <v>80</v>
      </c>
      <c r="C19" s="16" t="n">
        <v>5170</v>
      </c>
      <c r="D19" s="15" t="s">
        <v>55</v>
      </c>
      <c r="E19" s="18"/>
      <c r="F19" s="18"/>
      <c r="G19" s="18"/>
      <c r="H19" s="18"/>
      <c r="J19" s="18"/>
      <c r="K19" s="18"/>
      <c r="L19" s="18"/>
      <c r="M19" s="18"/>
      <c r="N19" s="18"/>
      <c r="P19" s="2" t="s">
        <v>81</v>
      </c>
    </row>
    <row r="20" customFormat="false" ht="15" hidden="false" customHeight="false" outlineLevel="0" collapsed="false">
      <c r="A20" s="15" t="n">
        <v>16</v>
      </c>
      <c r="B20" s="15" t="s">
        <v>82</v>
      </c>
      <c r="C20" s="16" t="n">
        <v>6227</v>
      </c>
      <c r="D20" s="15" t="s">
        <v>55</v>
      </c>
      <c r="E20" s="18"/>
      <c r="F20" s="18"/>
      <c r="G20" s="18"/>
      <c r="H20" s="18"/>
      <c r="J20" s="18"/>
      <c r="K20" s="18"/>
      <c r="L20" s="18"/>
      <c r="M20" s="18"/>
      <c r="N20" s="18"/>
      <c r="P20" s="2" t="s">
        <v>83</v>
      </c>
    </row>
    <row r="21" customFormat="false" ht="15" hidden="false" customHeight="false" outlineLevel="0" collapsed="false">
      <c r="A21" s="15" t="n">
        <v>17</v>
      </c>
      <c r="B21" s="15" t="s">
        <v>84</v>
      </c>
      <c r="C21" s="16" t="n">
        <v>5115</v>
      </c>
      <c r="D21" s="15" t="s">
        <v>55</v>
      </c>
      <c r="E21" s="18"/>
      <c r="F21" s="18"/>
      <c r="G21" s="18"/>
      <c r="H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5" t="n">
        <v>18</v>
      </c>
      <c r="B22" s="15" t="s">
        <v>85</v>
      </c>
      <c r="C22" s="16" t="n">
        <v>5622</v>
      </c>
      <c r="D22" s="15" t="s">
        <v>55</v>
      </c>
      <c r="E22" s="18"/>
      <c r="F22" s="18"/>
      <c r="G22" s="18"/>
      <c r="H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5" t="n">
        <v>19</v>
      </c>
      <c r="B23" s="15" t="s">
        <v>86</v>
      </c>
      <c r="C23" s="16" t="n">
        <v>5530</v>
      </c>
      <c r="D23" s="15" t="s">
        <v>55</v>
      </c>
      <c r="E23" s="18"/>
      <c r="F23" s="18"/>
      <c r="G23" s="18"/>
      <c r="H23" s="18"/>
      <c r="J23" s="18"/>
      <c r="K23" s="18"/>
      <c r="L23" s="18"/>
      <c r="M23" s="18"/>
      <c r="N23" s="18"/>
    </row>
    <row r="24" customFormat="false" ht="15" hidden="false" customHeight="false" outlineLevel="0" collapsed="false">
      <c r="A24" s="15" t="n">
        <v>20</v>
      </c>
      <c r="B24" s="15" t="s">
        <v>87</v>
      </c>
      <c r="C24" s="16" t="n">
        <v>5980</v>
      </c>
      <c r="D24" s="15" t="s">
        <v>55</v>
      </c>
      <c r="E24" s="18"/>
      <c r="F24" s="18"/>
      <c r="G24" s="18"/>
      <c r="H24" s="18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5" t="n">
        <v>21</v>
      </c>
      <c r="B25" s="15" t="s">
        <v>88</v>
      </c>
      <c r="C25" s="16" t="n">
        <v>5955</v>
      </c>
      <c r="D25" s="15" t="s">
        <v>55</v>
      </c>
      <c r="E25" s="18"/>
      <c r="F25" s="18"/>
      <c r="G25" s="18"/>
      <c r="H25" s="18"/>
      <c r="J25" s="18"/>
      <c r="K25" s="18"/>
      <c r="L25" s="18"/>
      <c r="M25" s="18"/>
      <c r="N25" s="18"/>
    </row>
    <row r="26" customFormat="false" ht="15" hidden="false" customHeight="false" outlineLevel="0" collapsed="false">
      <c r="A26" s="15" t="n">
        <v>22</v>
      </c>
      <c r="B26" s="15" t="s">
        <v>89</v>
      </c>
      <c r="C26" s="16" t="n">
        <v>7520</v>
      </c>
      <c r="D26" s="15" t="s">
        <v>55</v>
      </c>
      <c r="E26" s="18"/>
      <c r="F26" s="18"/>
      <c r="G26" s="18"/>
      <c r="H26" s="18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5" t="n">
        <v>23</v>
      </c>
      <c r="B27" s="15" t="s">
        <v>90</v>
      </c>
      <c r="C27" s="16" t="n">
        <v>5999</v>
      </c>
      <c r="D27" s="15" t="s">
        <v>55</v>
      </c>
      <c r="E27" s="18"/>
      <c r="F27" s="18"/>
      <c r="G27" s="18"/>
      <c r="H27" s="18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15" t="n">
        <v>24</v>
      </c>
      <c r="B28" s="15" t="s">
        <v>91</v>
      </c>
      <c r="C28" s="16" t="n">
        <v>7101</v>
      </c>
      <c r="D28" s="15" t="s">
        <v>55</v>
      </c>
      <c r="E28" s="18"/>
      <c r="F28" s="18"/>
      <c r="G28" s="18"/>
      <c r="H28" s="18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5" t="n">
        <v>25</v>
      </c>
      <c r="B29" s="15" t="s">
        <v>92</v>
      </c>
      <c r="C29" s="16" t="n">
        <v>7595</v>
      </c>
      <c r="D29" s="15" t="s">
        <v>55</v>
      </c>
      <c r="E29" s="18"/>
      <c r="F29" s="18"/>
      <c r="G29" s="18"/>
      <c r="H29" s="18"/>
      <c r="J29" s="18"/>
      <c r="K29" s="18"/>
      <c r="L29" s="18"/>
      <c r="M29" s="18"/>
      <c r="N29" s="18"/>
    </row>
    <row r="30" customFormat="false" ht="15" hidden="false" customHeight="false" outlineLevel="0" collapsed="false">
      <c r="A30" s="15" t="n">
        <v>26</v>
      </c>
      <c r="B30" s="15" t="s">
        <v>93</v>
      </c>
      <c r="C30" s="16" t="n">
        <v>6170</v>
      </c>
      <c r="D30" s="15" t="s">
        <v>55</v>
      </c>
      <c r="E30" s="18"/>
      <c r="F30" s="18"/>
      <c r="G30" s="18"/>
      <c r="H30" s="18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5" t="n">
        <v>27</v>
      </c>
      <c r="B31" s="15" t="s">
        <v>94</v>
      </c>
      <c r="C31" s="16" t="n">
        <v>7823</v>
      </c>
      <c r="D31" s="15" t="s">
        <v>55</v>
      </c>
      <c r="E31" s="18"/>
      <c r="F31" s="18"/>
      <c r="G31" s="18"/>
      <c r="H31" s="18"/>
      <c r="J31" s="18"/>
      <c r="K31" s="18"/>
      <c r="L31" s="18"/>
      <c r="M31" s="18"/>
      <c r="N31" s="18"/>
    </row>
    <row r="32" customFormat="false" ht="15" hidden="false" customHeight="false" outlineLevel="0" collapsed="false">
      <c r="A32" s="15" t="n">
        <v>28</v>
      </c>
      <c r="B32" s="15" t="s">
        <v>95</v>
      </c>
      <c r="C32" s="16" t="n">
        <v>8356</v>
      </c>
      <c r="D32" s="15" t="s">
        <v>55</v>
      </c>
      <c r="E32" s="18"/>
      <c r="F32" s="18"/>
      <c r="G32" s="18"/>
      <c r="H32" s="18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5" t="n">
        <v>29</v>
      </c>
      <c r="B33" s="15" t="s">
        <v>96</v>
      </c>
      <c r="C33" s="16" t="n">
        <v>7471</v>
      </c>
      <c r="D33" s="15" t="s">
        <v>55</v>
      </c>
      <c r="E33" s="18"/>
      <c r="F33" s="18"/>
      <c r="G33" s="18"/>
      <c r="H33" s="18"/>
      <c r="J33" s="18"/>
      <c r="K33" s="18"/>
      <c r="L33" s="18"/>
      <c r="M33" s="18"/>
      <c r="N33" s="18"/>
    </row>
    <row r="34" customFormat="false" ht="15" hidden="false" customHeight="false" outlineLevel="0" collapsed="false">
      <c r="A34" s="15" t="n">
        <v>30</v>
      </c>
      <c r="B34" s="15" t="s">
        <v>97</v>
      </c>
      <c r="C34" s="16" t="n">
        <v>6811</v>
      </c>
      <c r="D34" s="15" t="s">
        <v>55</v>
      </c>
      <c r="E34" s="18"/>
      <c r="F34" s="18"/>
      <c r="G34" s="18"/>
      <c r="H34" s="18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5" t="n">
        <v>31</v>
      </c>
      <c r="B35" s="12" t="s">
        <v>98</v>
      </c>
      <c r="C35" s="20" t="n">
        <v>6687</v>
      </c>
      <c r="D35" s="12" t="s">
        <v>99</v>
      </c>
      <c r="F35" s="18"/>
      <c r="G35" s="18"/>
      <c r="L35" s="18"/>
      <c r="M35" s="18"/>
    </row>
    <row r="36" customFormat="false" ht="15" hidden="false" customHeight="false" outlineLevel="0" collapsed="false">
      <c r="A36" s="15" t="n">
        <v>32</v>
      </c>
      <c r="B36" s="12" t="s">
        <v>100</v>
      </c>
      <c r="C36" s="20" t="n">
        <v>6896</v>
      </c>
      <c r="D36" s="12" t="s">
        <v>99</v>
      </c>
      <c r="F36" s="18"/>
      <c r="G36" s="18"/>
      <c r="L36" s="18"/>
      <c r="M36" s="18"/>
    </row>
    <row r="37" customFormat="false" ht="15" hidden="false" customHeight="false" outlineLevel="0" collapsed="false">
      <c r="A37" s="15" t="n">
        <v>33</v>
      </c>
      <c r="B37" s="12" t="s">
        <v>101</v>
      </c>
      <c r="C37" s="20" t="n">
        <v>7737</v>
      </c>
      <c r="D37" s="12" t="s">
        <v>99</v>
      </c>
      <c r="F37" s="18"/>
      <c r="G37" s="18"/>
      <c r="L37" s="18"/>
      <c r="M37" s="18"/>
    </row>
    <row r="38" customFormat="false" ht="15" hidden="false" customHeight="false" outlineLevel="0" collapsed="false">
      <c r="A38" s="15" t="n">
        <v>34</v>
      </c>
      <c r="B38" s="12" t="s">
        <v>102</v>
      </c>
      <c r="C38" s="20" t="n">
        <v>8871</v>
      </c>
      <c r="D38" s="12" t="s">
        <v>99</v>
      </c>
      <c r="F38" s="18"/>
      <c r="G38" s="18"/>
      <c r="L38" s="18"/>
      <c r="M38" s="18"/>
    </row>
    <row r="39" customFormat="false" ht="15" hidden="false" customHeight="false" outlineLevel="0" collapsed="false">
      <c r="A39" s="15" t="n">
        <v>35</v>
      </c>
      <c r="B39" s="12" t="s">
        <v>103</v>
      </c>
      <c r="C39" s="20" t="n">
        <v>8539</v>
      </c>
      <c r="D39" s="12" t="s">
        <v>99</v>
      </c>
      <c r="F39" s="18"/>
      <c r="G39" s="18"/>
      <c r="L39" s="18"/>
      <c r="M39" s="18"/>
    </row>
    <row r="40" customFormat="false" ht="15" hidden="false" customHeight="false" outlineLevel="0" collapsed="false">
      <c r="A40" s="15" t="n">
        <v>36</v>
      </c>
      <c r="B40" s="12" t="s">
        <v>104</v>
      </c>
      <c r="C40" s="20" t="n">
        <v>7611</v>
      </c>
      <c r="D40" s="12" t="s">
        <v>99</v>
      </c>
      <c r="F40" s="18"/>
      <c r="G40" s="18"/>
      <c r="L40" s="18"/>
      <c r="M4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"/>
    <col collapsed="false" customWidth="true" hidden="false" outlineLevel="0" max="16" min="16" style="0" width="26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/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P4" s="14" t="s">
        <v>52</v>
      </c>
      <c r="Q4" s="14" t="s">
        <v>53</v>
      </c>
    </row>
    <row r="5" customFormat="false" ht="15" hidden="false" customHeight="false" outlineLevel="0" collapsed="false">
      <c r="A5" s="15" t="n">
        <v>1</v>
      </c>
      <c r="B5" s="15" t="s">
        <v>54</v>
      </c>
      <c r="C5" s="16" t="n">
        <v>7631</v>
      </c>
      <c r="D5" s="15" t="s">
        <v>55</v>
      </c>
      <c r="E5" s="16" t="n">
        <f aca="false">C5</f>
        <v>7631</v>
      </c>
      <c r="J5" s="16" t="n">
        <f aca="false">C5</f>
        <v>7631</v>
      </c>
      <c r="K5" s="16" t="n">
        <f aca="false">(C8-C5)/3</f>
        <v>0.333333333333333</v>
      </c>
      <c r="P5" s="15" t="s">
        <v>56</v>
      </c>
      <c r="Q5" s="17" t="n">
        <v>0.3</v>
      </c>
    </row>
    <row r="6" customFormat="false" ht="15" hidden="false" customHeight="false" outlineLevel="0" collapsed="false">
      <c r="A6" s="15" t="n">
        <v>2</v>
      </c>
      <c r="B6" s="15" t="s">
        <v>57</v>
      </c>
      <c r="C6" s="16" t="n">
        <v>5950</v>
      </c>
      <c r="D6" s="15" t="s">
        <v>55</v>
      </c>
      <c r="E6" s="18"/>
      <c r="F6" s="18"/>
      <c r="G6" s="18"/>
      <c r="H6" s="18"/>
      <c r="J6" s="18"/>
      <c r="K6" s="18"/>
      <c r="L6" s="18"/>
      <c r="M6" s="18"/>
      <c r="N6" s="18"/>
      <c r="P6" s="15" t="s">
        <v>58</v>
      </c>
      <c r="Q6" s="17" t="n">
        <v>0.3</v>
      </c>
    </row>
    <row r="7" customFormat="false" ht="15" hidden="false" customHeight="false" outlineLevel="0" collapsed="false">
      <c r="A7" s="15" t="n">
        <v>3</v>
      </c>
      <c r="B7" s="15" t="s">
        <v>59</v>
      </c>
      <c r="C7" s="16" t="n">
        <v>6605</v>
      </c>
      <c r="D7" s="15" t="s">
        <v>55</v>
      </c>
      <c r="E7" s="18"/>
      <c r="F7" s="18"/>
      <c r="G7" s="18"/>
      <c r="H7" s="18"/>
      <c r="J7" s="18"/>
      <c r="K7" s="18"/>
      <c r="L7" s="18"/>
      <c r="M7" s="18"/>
      <c r="N7" s="18"/>
      <c r="P7" s="15" t="s">
        <v>60</v>
      </c>
      <c r="Q7" s="17" t="n">
        <v>0.1</v>
      </c>
    </row>
    <row r="8" customFormat="false" ht="15" hidden="false" customHeight="false" outlineLevel="0" collapsed="false">
      <c r="A8" s="15" t="n">
        <v>4</v>
      </c>
      <c r="B8" s="15" t="s">
        <v>61</v>
      </c>
      <c r="C8" s="16" t="n">
        <v>7632</v>
      </c>
      <c r="D8" s="15" t="s">
        <v>55</v>
      </c>
      <c r="E8" s="18"/>
      <c r="F8" s="18"/>
      <c r="G8" s="18"/>
      <c r="H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5" t="n">
        <v>5</v>
      </c>
      <c r="B9" s="15" t="s">
        <v>62</v>
      </c>
      <c r="C9" s="16" t="n">
        <v>5727</v>
      </c>
      <c r="D9" s="15" t="s">
        <v>55</v>
      </c>
      <c r="E9" s="18"/>
      <c r="F9" s="18"/>
      <c r="G9" s="18"/>
      <c r="H9" s="18"/>
      <c r="J9" s="18"/>
      <c r="K9" s="18"/>
      <c r="L9" s="18"/>
      <c r="M9" s="18"/>
      <c r="N9" s="18"/>
    </row>
    <row r="10" customFormat="false" ht="15" hidden="false" customHeight="false" outlineLevel="0" collapsed="false">
      <c r="A10" s="15" t="n">
        <v>6</v>
      </c>
      <c r="B10" s="15" t="s">
        <v>63</v>
      </c>
      <c r="C10" s="16" t="n">
        <v>5885</v>
      </c>
      <c r="D10" s="15" t="s">
        <v>55</v>
      </c>
      <c r="E10" s="18"/>
      <c r="F10" s="18"/>
      <c r="G10" s="18"/>
      <c r="H10" s="18"/>
      <c r="J10" s="18"/>
      <c r="K10" s="18"/>
      <c r="L10" s="18"/>
      <c r="M10" s="18"/>
      <c r="N10" s="18"/>
      <c r="P10" s="14" t="s">
        <v>64</v>
      </c>
      <c r="Q10" s="14"/>
    </row>
    <row r="11" customFormat="false" ht="15" hidden="false" customHeight="false" outlineLevel="0" collapsed="false">
      <c r="A11" s="15" t="n">
        <v>7</v>
      </c>
      <c r="B11" s="15" t="s">
        <v>65</v>
      </c>
      <c r="C11" s="16" t="n">
        <v>5614</v>
      </c>
      <c r="D11" s="15" t="s">
        <v>55</v>
      </c>
      <c r="E11" s="18"/>
      <c r="F11" s="18"/>
      <c r="G11" s="18"/>
      <c r="H11" s="18"/>
      <c r="J11" s="18"/>
      <c r="K11" s="18"/>
      <c r="L11" s="18"/>
      <c r="M11" s="18"/>
      <c r="N11" s="18"/>
      <c r="P11" s="15" t="s">
        <v>66</v>
      </c>
      <c r="Q11" s="18"/>
    </row>
    <row r="12" customFormat="false" ht="15" hidden="false" customHeight="false" outlineLevel="0" collapsed="false">
      <c r="A12" s="15" t="n">
        <v>8</v>
      </c>
      <c r="B12" s="15" t="s">
        <v>67</v>
      </c>
      <c r="C12" s="16" t="n">
        <v>5380</v>
      </c>
      <c r="D12" s="15" t="s">
        <v>55</v>
      </c>
      <c r="E12" s="18"/>
      <c r="F12" s="18"/>
      <c r="G12" s="18"/>
      <c r="H12" s="18"/>
      <c r="J12" s="18"/>
      <c r="K12" s="18"/>
      <c r="L12" s="18"/>
      <c r="M12" s="18"/>
      <c r="N12" s="18"/>
      <c r="P12" s="15" t="s">
        <v>68</v>
      </c>
      <c r="Q12" s="18"/>
    </row>
    <row r="13" customFormat="false" ht="15" hidden="false" customHeight="false" outlineLevel="0" collapsed="false">
      <c r="A13" s="15" t="n">
        <v>9</v>
      </c>
      <c r="B13" s="15" t="s">
        <v>69</v>
      </c>
      <c r="C13" s="16" t="n">
        <v>5870</v>
      </c>
      <c r="D13" s="15" t="s">
        <v>55</v>
      </c>
      <c r="E13" s="18"/>
      <c r="F13" s="18"/>
      <c r="G13" s="18"/>
      <c r="H13" s="18"/>
      <c r="J13" s="18"/>
      <c r="K13" s="18"/>
      <c r="L13" s="18"/>
      <c r="M13" s="18"/>
      <c r="N13" s="18"/>
      <c r="P13" s="15" t="s">
        <v>70</v>
      </c>
      <c r="Q13" s="19"/>
    </row>
    <row r="14" customFormat="false" ht="15" hidden="false" customHeight="false" outlineLevel="0" collapsed="false">
      <c r="A14" s="15" t="n">
        <v>10</v>
      </c>
      <c r="B14" s="15" t="s">
        <v>71</v>
      </c>
      <c r="C14" s="16" t="n">
        <v>5579</v>
      </c>
      <c r="D14" s="15" t="s">
        <v>55</v>
      </c>
      <c r="E14" s="18"/>
      <c r="F14" s="18"/>
      <c r="G14" s="18"/>
      <c r="H14" s="18"/>
      <c r="J14" s="18"/>
      <c r="K14" s="18"/>
      <c r="L14" s="18"/>
      <c r="M14" s="18"/>
      <c r="N14" s="18"/>
      <c r="P14" s="15" t="s">
        <v>72</v>
      </c>
      <c r="Q14" s="19"/>
    </row>
    <row r="15" customFormat="false" ht="15" hidden="false" customHeight="false" outlineLevel="0" collapsed="false">
      <c r="A15" s="15" t="n">
        <v>11</v>
      </c>
      <c r="B15" s="15" t="s">
        <v>73</v>
      </c>
      <c r="C15" s="16" t="n">
        <v>6263</v>
      </c>
      <c r="D15" s="15" t="s">
        <v>55</v>
      </c>
      <c r="E15" s="18"/>
      <c r="F15" s="18"/>
      <c r="G15" s="18"/>
      <c r="H15" s="18"/>
      <c r="J15" s="18"/>
      <c r="K15" s="18"/>
      <c r="L15" s="18"/>
      <c r="M15" s="18"/>
      <c r="N15" s="18"/>
      <c r="P15" s="15" t="s">
        <v>74</v>
      </c>
      <c r="Q15" s="19"/>
    </row>
    <row r="16" customFormat="false" ht="15" hidden="false" customHeight="false" outlineLevel="0" collapsed="false">
      <c r="A16" s="15" t="n">
        <v>12</v>
      </c>
      <c r="B16" s="15" t="s">
        <v>75</v>
      </c>
      <c r="C16" s="16" t="n">
        <v>5542</v>
      </c>
      <c r="D16" s="15" t="s">
        <v>55</v>
      </c>
      <c r="E16" s="18"/>
      <c r="F16" s="18"/>
      <c r="G16" s="18"/>
      <c r="H16" s="18"/>
      <c r="J16" s="18"/>
      <c r="K16" s="18"/>
      <c r="L16" s="18"/>
      <c r="M16" s="18"/>
      <c r="N16" s="18"/>
      <c r="P16" s="15" t="s">
        <v>76</v>
      </c>
      <c r="Q16" s="19"/>
    </row>
    <row r="17" customFormat="false" ht="15" hidden="false" customHeight="false" outlineLevel="0" collapsed="false">
      <c r="A17" s="15" t="n">
        <v>13</v>
      </c>
      <c r="B17" s="15" t="s">
        <v>77</v>
      </c>
      <c r="C17" s="16" t="n">
        <v>6240</v>
      </c>
      <c r="D17" s="15" t="s">
        <v>55</v>
      </c>
      <c r="E17" s="18"/>
      <c r="F17" s="18"/>
      <c r="G17" s="18"/>
      <c r="H17" s="18"/>
      <c r="J17" s="18"/>
      <c r="K17" s="18"/>
      <c r="L17" s="18"/>
      <c r="M17" s="18"/>
      <c r="N17" s="18"/>
      <c r="P17" s="15" t="s">
        <v>78</v>
      </c>
      <c r="Q17" s="19"/>
    </row>
    <row r="18" customFormat="false" ht="15" hidden="false" customHeight="false" outlineLevel="0" collapsed="false">
      <c r="A18" s="15" t="n">
        <v>14</v>
      </c>
      <c r="B18" s="15" t="s">
        <v>79</v>
      </c>
      <c r="C18" s="16" t="n">
        <v>5109</v>
      </c>
      <c r="D18" s="15" t="s">
        <v>55</v>
      </c>
      <c r="E18" s="18"/>
      <c r="F18" s="18"/>
      <c r="G18" s="18"/>
      <c r="H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5" t="n">
        <v>15</v>
      </c>
      <c r="B19" s="15" t="s">
        <v>80</v>
      </c>
      <c r="C19" s="16" t="n">
        <v>5427</v>
      </c>
      <c r="D19" s="15" t="s">
        <v>55</v>
      </c>
      <c r="E19" s="18"/>
      <c r="F19" s="18"/>
      <c r="G19" s="18"/>
      <c r="H19" s="18"/>
      <c r="J19" s="18"/>
      <c r="K19" s="18"/>
      <c r="L19" s="18"/>
      <c r="M19" s="18"/>
      <c r="N19" s="18"/>
      <c r="P19" s="2" t="s">
        <v>81</v>
      </c>
    </row>
    <row r="20" customFormat="false" ht="15" hidden="false" customHeight="false" outlineLevel="0" collapsed="false">
      <c r="A20" s="15" t="n">
        <v>16</v>
      </c>
      <c r="B20" s="15" t="s">
        <v>82</v>
      </c>
      <c r="C20" s="16" t="n">
        <v>5810</v>
      </c>
      <c r="D20" s="15" t="s">
        <v>55</v>
      </c>
      <c r="E20" s="18"/>
      <c r="F20" s="18"/>
      <c r="G20" s="18"/>
      <c r="H20" s="18"/>
      <c r="J20" s="18"/>
      <c r="K20" s="18"/>
      <c r="L20" s="18"/>
      <c r="M20" s="18"/>
      <c r="N20" s="18"/>
      <c r="P20" s="2" t="s">
        <v>83</v>
      </c>
    </row>
    <row r="21" customFormat="false" ht="15" hidden="false" customHeight="false" outlineLevel="0" collapsed="false">
      <c r="A21" s="15" t="n">
        <v>17</v>
      </c>
      <c r="B21" s="15" t="s">
        <v>84</v>
      </c>
      <c r="C21" s="16" t="n">
        <v>5304</v>
      </c>
      <c r="D21" s="15" t="s">
        <v>55</v>
      </c>
      <c r="E21" s="18"/>
      <c r="F21" s="18"/>
      <c r="G21" s="18"/>
      <c r="H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5" t="n">
        <v>18</v>
      </c>
      <c r="B22" s="15" t="s">
        <v>85</v>
      </c>
      <c r="C22" s="16" t="n">
        <v>5367</v>
      </c>
      <c r="D22" s="15" t="s">
        <v>55</v>
      </c>
      <c r="E22" s="18"/>
      <c r="F22" s="18"/>
      <c r="G22" s="18"/>
      <c r="H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5" t="n">
        <v>19</v>
      </c>
      <c r="B23" s="15" t="s">
        <v>86</v>
      </c>
      <c r="C23" s="16" t="n">
        <v>5060</v>
      </c>
      <c r="D23" s="15" t="s">
        <v>55</v>
      </c>
      <c r="E23" s="18"/>
      <c r="F23" s="18"/>
      <c r="G23" s="18"/>
      <c r="H23" s="18"/>
      <c r="J23" s="18"/>
      <c r="K23" s="18"/>
      <c r="L23" s="18"/>
      <c r="M23" s="18"/>
      <c r="N23" s="18"/>
    </row>
    <row r="24" customFormat="false" ht="15" hidden="false" customHeight="false" outlineLevel="0" collapsed="false">
      <c r="A24" s="15" t="n">
        <v>20</v>
      </c>
      <c r="B24" s="15" t="s">
        <v>87</v>
      </c>
      <c r="C24" s="16" t="n">
        <v>5378</v>
      </c>
      <c r="D24" s="15" t="s">
        <v>55</v>
      </c>
      <c r="E24" s="18"/>
      <c r="F24" s="18"/>
      <c r="G24" s="18"/>
      <c r="H24" s="18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5" t="n">
        <v>21</v>
      </c>
      <c r="B25" s="15" t="s">
        <v>88</v>
      </c>
      <c r="C25" s="16" t="n">
        <v>4411</v>
      </c>
      <c r="D25" s="15" t="s">
        <v>55</v>
      </c>
      <c r="E25" s="18"/>
      <c r="F25" s="18"/>
      <c r="G25" s="18"/>
      <c r="H25" s="18"/>
      <c r="J25" s="18"/>
      <c r="K25" s="18"/>
      <c r="L25" s="18"/>
      <c r="M25" s="18"/>
      <c r="N25" s="18"/>
    </row>
    <row r="26" customFormat="false" ht="15" hidden="false" customHeight="false" outlineLevel="0" collapsed="false">
      <c r="A26" s="15" t="n">
        <v>22</v>
      </c>
      <c r="B26" s="15" t="s">
        <v>89</v>
      </c>
      <c r="C26" s="16" t="n">
        <v>5026</v>
      </c>
      <c r="D26" s="15" t="s">
        <v>55</v>
      </c>
      <c r="E26" s="18"/>
      <c r="F26" s="18"/>
      <c r="G26" s="18"/>
      <c r="H26" s="18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5" t="n">
        <v>23</v>
      </c>
      <c r="B27" s="15" t="s">
        <v>90</v>
      </c>
      <c r="C27" s="16" t="n">
        <v>6199</v>
      </c>
      <c r="D27" s="15" t="s">
        <v>55</v>
      </c>
      <c r="E27" s="18"/>
      <c r="F27" s="18"/>
      <c r="G27" s="18"/>
      <c r="H27" s="18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15" t="n">
        <v>24</v>
      </c>
      <c r="B28" s="15" t="s">
        <v>91</v>
      </c>
      <c r="C28" s="16" t="n">
        <v>5591</v>
      </c>
      <c r="D28" s="15" t="s">
        <v>55</v>
      </c>
      <c r="E28" s="18"/>
      <c r="F28" s="18"/>
      <c r="G28" s="18"/>
      <c r="H28" s="18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5" t="n">
        <v>25</v>
      </c>
      <c r="B29" s="15" t="s">
        <v>92</v>
      </c>
      <c r="C29" s="16" t="n">
        <v>5277</v>
      </c>
      <c r="D29" s="15" t="s">
        <v>55</v>
      </c>
      <c r="E29" s="18"/>
      <c r="F29" s="18"/>
      <c r="G29" s="18"/>
      <c r="H29" s="18"/>
      <c r="J29" s="18"/>
      <c r="K29" s="18"/>
      <c r="L29" s="18"/>
      <c r="M29" s="18"/>
      <c r="N29" s="18"/>
    </row>
    <row r="30" customFormat="false" ht="15" hidden="false" customHeight="false" outlineLevel="0" collapsed="false">
      <c r="A30" s="15" t="n">
        <v>26</v>
      </c>
      <c r="B30" s="15" t="s">
        <v>93</v>
      </c>
      <c r="C30" s="16" t="n">
        <v>5054</v>
      </c>
      <c r="D30" s="15" t="s">
        <v>55</v>
      </c>
      <c r="E30" s="18"/>
      <c r="F30" s="18"/>
      <c r="G30" s="18"/>
      <c r="H30" s="18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5" t="n">
        <v>27</v>
      </c>
      <c r="B31" s="15" t="s">
        <v>94</v>
      </c>
      <c r="C31" s="16" t="n">
        <v>5294</v>
      </c>
      <c r="D31" s="15" t="s">
        <v>55</v>
      </c>
      <c r="E31" s="18"/>
      <c r="F31" s="18"/>
      <c r="G31" s="18"/>
      <c r="H31" s="18"/>
      <c r="J31" s="18"/>
      <c r="K31" s="18"/>
      <c r="L31" s="18"/>
      <c r="M31" s="18"/>
      <c r="N31" s="18"/>
    </row>
    <row r="32" customFormat="false" ht="15" hidden="false" customHeight="false" outlineLevel="0" collapsed="false">
      <c r="A32" s="15" t="n">
        <v>28</v>
      </c>
      <c r="B32" s="15" t="s">
        <v>95</v>
      </c>
      <c r="C32" s="16" t="n">
        <v>4503</v>
      </c>
      <c r="D32" s="15" t="s">
        <v>55</v>
      </c>
      <c r="E32" s="18"/>
      <c r="F32" s="18"/>
      <c r="G32" s="18"/>
      <c r="H32" s="18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5" t="n">
        <v>29</v>
      </c>
      <c r="B33" s="15" t="s">
        <v>96</v>
      </c>
      <c r="C33" s="16" t="n">
        <v>3648</v>
      </c>
      <c r="D33" s="15" t="s">
        <v>55</v>
      </c>
      <c r="E33" s="18"/>
      <c r="F33" s="18"/>
      <c r="G33" s="18"/>
      <c r="H33" s="18"/>
      <c r="J33" s="18"/>
      <c r="K33" s="18"/>
      <c r="L33" s="18"/>
      <c r="M33" s="18"/>
      <c r="N33" s="18"/>
    </row>
    <row r="34" customFormat="false" ht="15" hidden="false" customHeight="false" outlineLevel="0" collapsed="false">
      <c r="A34" s="15" t="n">
        <v>30</v>
      </c>
      <c r="B34" s="15" t="s">
        <v>97</v>
      </c>
      <c r="C34" s="16" t="n">
        <v>4096</v>
      </c>
      <c r="D34" s="15" t="s">
        <v>55</v>
      </c>
      <c r="E34" s="18"/>
      <c r="F34" s="18"/>
      <c r="G34" s="18"/>
      <c r="H34" s="18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5" t="n">
        <v>31</v>
      </c>
      <c r="B35" s="12" t="s">
        <v>98</v>
      </c>
      <c r="C35" s="20" t="n">
        <v>3984</v>
      </c>
      <c r="D35" s="12" t="s">
        <v>99</v>
      </c>
      <c r="F35" s="18"/>
      <c r="G35" s="18"/>
      <c r="L35" s="18"/>
      <c r="M35" s="18"/>
    </row>
    <row r="36" customFormat="false" ht="15" hidden="false" customHeight="false" outlineLevel="0" collapsed="false">
      <c r="A36" s="15" t="n">
        <v>32</v>
      </c>
      <c r="B36" s="12" t="s">
        <v>100</v>
      </c>
      <c r="C36" s="20" t="n">
        <v>4818</v>
      </c>
      <c r="D36" s="12" t="s">
        <v>99</v>
      </c>
      <c r="F36" s="18"/>
      <c r="G36" s="18"/>
      <c r="L36" s="18"/>
      <c r="M36" s="18"/>
    </row>
    <row r="37" customFormat="false" ht="15" hidden="false" customHeight="false" outlineLevel="0" collapsed="false">
      <c r="A37" s="15" t="n">
        <v>33</v>
      </c>
      <c r="B37" s="12" t="s">
        <v>101</v>
      </c>
      <c r="C37" s="20" t="n">
        <v>4604</v>
      </c>
      <c r="D37" s="12" t="s">
        <v>99</v>
      </c>
      <c r="F37" s="18"/>
      <c r="G37" s="18"/>
      <c r="L37" s="18"/>
      <c r="M37" s="18"/>
    </row>
    <row r="38" customFormat="false" ht="15" hidden="false" customHeight="false" outlineLevel="0" collapsed="false">
      <c r="A38" s="15" t="n">
        <v>34</v>
      </c>
      <c r="B38" s="12" t="s">
        <v>102</v>
      </c>
      <c r="C38" s="20" t="n">
        <v>3822</v>
      </c>
      <c r="D38" s="12" t="s">
        <v>99</v>
      </c>
      <c r="F38" s="18"/>
      <c r="G38" s="18"/>
      <c r="L38" s="18"/>
      <c r="M38" s="18"/>
    </row>
    <row r="39" customFormat="false" ht="15" hidden="false" customHeight="false" outlineLevel="0" collapsed="false">
      <c r="A39" s="15" t="n">
        <v>35</v>
      </c>
      <c r="B39" s="12" t="s">
        <v>103</v>
      </c>
      <c r="C39" s="20" t="n">
        <v>3802</v>
      </c>
      <c r="D39" s="12" t="s">
        <v>99</v>
      </c>
      <c r="F39" s="18"/>
      <c r="G39" s="18"/>
      <c r="L39" s="18"/>
      <c r="M39" s="18"/>
    </row>
    <row r="40" customFormat="false" ht="15" hidden="false" customHeight="false" outlineLevel="0" collapsed="false">
      <c r="A40" s="15" t="n">
        <v>36</v>
      </c>
      <c r="B40" s="12" t="s">
        <v>104</v>
      </c>
      <c r="C40" s="20" t="n">
        <v>3116</v>
      </c>
      <c r="D40" s="12" t="s">
        <v>99</v>
      </c>
      <c r="F40" s="18"/>
      <c r="G40" s="18"/>
      <c r="L40" s="18"/>
      <c r="M4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7" min="2" style="0" width="10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0" hidden="false" customHeight="true" outlineLevel="0" collapsed="false">
      <c r="A4" s="6" t="s">
        <v>40</v>
      </c>
      <c r="B4" s="6" t="s">
        <v>41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I4" s="14" t="s">
        <v>52</v>
      </c>
      <c r="J4" s="14" t="s">
        <v>53</v>
      </c>
    </row>
    <row r="5" customFormat="false" ht="15" hidden="false" customHeight="false" outlineLevel="0" collapsed="false">
      <c r="A5" s="15" t="s">
        <v>54</v>
      </c>
      <c r="B5" s="16" t="n">
        <v>4104</v>
      </c>
      <c r="C5" s="16" t="n">
        <f aca="false">B5</f>
        <v>4104</v>
      </c>
      <c r="I5" s="15" t="s">
        <v>114</v>
      </c>
      <c r="J5" s="21" t="n">
        <f aca="false">Bai1_N03_GT!Q5</f>
        <v>0.3</v>
      </c>
    </row>
    <row r="6" customFormat="false" ht="15" hidden="false" customHeight="false" outlineLevel="0" collapsed="false">
      <c r="A6" s="15" t="s">
        <v>57</v>
      </c>
      <c r="B6" s="16" t="n">
        <v>4659</v>
      </c>
      <c r="C6" s="16" t="n">
        <f aca="false">$J$5*B6+(1-$J$5)*C5</f>
        <v>4270.5</v>
      </c>
    </row>
    <row r="7" customFormat="false" ht="15" hidden="false" customHeight="false" outlineLevel="0" collapsed="false">
      <c r="A7" s="15" t="s">
        <v>59</v>
      </c>
      <c r="B7" s="16" t="n">
        <v>4311</v>
      </c>
      <c r="C7" s="16" t="n">
        <f aca="false">$J$5*B7+(1-$J$5)*C6</f>
        <v>4282.65</v>
      </c>
    </row>
    <row r="8" customFormat="false" ht="15" hidden="false" customHeight="false" outlineLevel="0" collapsed="false">
      <c r="A8" s="15" t="s">
        <v>61</v>
      </c>
      <c r="B8" s="16" t="n">
        <v>5114</v>
      </c>
      <c r="C8" s="16" t="n">
        <f aca="false">$J$5*B8+(1-$J$5)*C7</f>
        <v>4532.055</v>
      </c>
      <c r="I8" s="14" t="s">
        <v>115</v>
      </c>
      <c r="J8" s="14"/>
    </row>
    <row r="9" customFormat="false" ht="15" hidden="false" customHeight="false" outlineLevel="0" collapsed="false">
      <c r="A9" s="15" t="s">
        <v>62</v>
      </c>
      <c r="B9" s="16" t="n">
        <v>3545</v>
      </c>
      <c r="C9" s="16" t="n">
        <f aca="false">$J$5*B9+(1-$J$5)*C8</f>
        <v>4235.9385</v>
      </c>
      <c r="I9" s="15" t="s">
        <v>116</v>
      </c>
      <c r="J9" s="19"/>
    </row>
    <row r="10" customFormat="false" ht="15" hidden="false" customHeight="false" outlineLevel="0" collapsed="false">
      <c r="A10" s="15" t="s">
        <v>63</v>
      </c>
      <c r="B10" s="16" t="n">
        <v>4808</v>
      </c>
      <c r="C10" s="16" t="n">
        <f aca="false">$J$5*B10+(1-$J$5)*C9</f>
        <v>4407.55695</v>
      </c>
      <c r="I10" s="15" t="s">
        <v>117</v>
      </c>
      <c r="J10" s="19"/>
    </row>
    <row r="11" customFormat="false" ht="15" hidden="false" customHeight="false" outlineLevel="0" collapsed="false">
      <c r="A11" s="15" t="s">
        <v>65</v>
      </c>
      <c r="B11" s="16" t="n">
        <v>4860</v>
      </c>
      <c r="C11" s="16" t="n">
        <f aca="false">$J$5*B11+(1-$J$5)*C10</f>
        <v>4543.289865</v>
      </c>
      <c r="I11" s="15" t="s">
        <v>118</v>
      </c>
      <c r="J11" s="19"/>
    </row>
    <row r="12" customFormat="false" ht="15" hidden="false" customHeight="false" outlineLevel="0" collapsed="false">
      <c r="A12" s="15" t="s">
        <v>67</v>
      </c>
      <c r="B12" s="16" t="n">
        <v>4743</v>
      </c>
      <c r="C12" s="16" t="n">
        <f aca="false">$J$5*B12+(1-$J$5)*C11</f>
        <v>4603.2029055</v>
      </c>
      <c r="I12" s="15" t="s">
        <v>119</v>
      </c>
      <c r="J12" s="19"/>
    </row>
    <row r="13" customFormat="false" ht="15" hidden="false" customHeight="false" outlineLevel="0" collapsed="false">
      <c r="A13" s="15" t="s">
        <v>69</v>
      </c>
      <c r="B13" s="16" t="n">
        <v>5280</v>
      </c>
      <c r="C13" s="16" t="n">
        <f aca="false">$J$5*B13+(1-$J$5)*C12</f>
        <v>4806.24203385</v>
      </c>
    </row>
    <row r="14" customFormat="false" ht="15" hidden="false" customHeight="false" outlineLevel="0" collapsed="false">
      <c r="A14" s="15" t="s">
        <v>71</v>
      </c>
      <c r="B14" s="16" t="n">
        <v>4629</v>
      </c>
      <c r="C14" s="16" t="n">
        <f aca="false">$J$5*B14+(1-$J$5)*C13</f>
        <v>4753.069423695</v>
      </c>
      <c r="I14" s="2" t="s">
        <v>120</v>
      </c>
    </row>
    <row r="15" customFormat="false" ht="15" hidden="false" customHeight="false" outlineLevel="0" collapsed="false">
      <c r="A15" s="15" t="s">
        <v>73</v>
      </c>
      <c r="B15" s="16" t="n">
        <v>5694</v>
      </c>
      <c r="C15" s="16" t="n">
        <f aca="false">$J$5*B15+(1-$J$5)*C14</f>
        <v>5035.3485965865</v>
      </c>
      <c r="I15" s="2" t="s">
        <v>121</v>
      </c>
    </row>
    <row r="16" customFormat="false" ht="15" hidden="false" customHeight="false" outlineLevel="0" collapsed="false">
      <c r="A16" s="15" t="s">
        <v>75</v>
      </c>
      <c r="B16" s="16" t="n">
        <v>5344</v>
      </c>
      <c r="C16" s="16" t="n">
        <f aca="false">$J$5*B16+(1-$J$5)*C15</f>
        <v>5127.94401761055</v>
      </c>
    </row>
    <row r="17" customFormat="false" ht="15" hidden="false" customHeight="false" outlineLevel="0" collapsed="false">
      <c r="A17" s="15" t="s">
        <v>77</v>
      </c>
      <c r="B17" s="16" t="n">
        <v>5307</v>
      </c>
      <c r="C17" s="16" t="n">
        <f aca="false">$J$5*B17+(1-$J$5)*C16</f>
        <v>5181.66081232738</v>
      </c>
    </row>
    <row r="18" customFormat="false" ht="15" hidden="false" customHeight="false" outlineLevel="0" collapsed="false">
      <c r="A18" s="15" t="s">
        <v>79</v>
      </c>
      <c r="B18" s="16" t="n">
        <v>4930</v>
      </c>
      <c r="C18" s="16" t="n">
        <f aca="false">$J$5*B18+(1-$J$5)*C17</f>
        <v>5106.16256862917</v>
      </c>
    </row>
    <row r="19" customFormat="false" ht="15" hidden="false" customHeight="false" outlineLevel="0" collapsed="false">
      <c r="A19" s="15" t="s">
        <v>80</v>
      </c>
      <c r="B19" s="16" t="n">
        <v>5170</v>
      </c>
      <c r="C19" s="16" t="n">
        <f aca="false">$J$5*B19+(1-$J$5)*C18</f>
        <v>5125.31379804042</v>
      </c>
    </row>
    <row r="20" customFormat="false" ht="15" hidden="false" customHeight="false" outlineLevel="0" collapsed="false">
      <c r="A20" s="15" t="s">
        <v>82</v>
      </c>
      <c r="B20" s="16" t="n">
        <v>6227</v>
      </c>
      <c r="C20" s="16" t="n">
        <f aca="false">$J$5*B20+(1-$J$5)*C19</f>
        <v>5455.81965862829</v>
      </c>
    </row>
    <row r="21" customFormat="false" ht="15" hidden="false" customHeight="false" outlineLevel="0" collapsed="false">
      <c r="A21" s="15" t="s">
        <v>84</v>
      </c>
      <c r="B21" s="16" t="n">
        <v>5115</v>
      </c>
      <c r="C21" s="16" t="n">
        <f aca="false">$J$5*B21+(1-$J$5)*C20</f>
        <v>5353.57376103981</v>
      </c>
    </row>
    <row r="22" customFormat="false" ht="15" hidden="false" customHeight="false" outlineLevel="0" collapsed="false">
      <c r="A22" s="15" t="s">
        <v>85</v>
      </c>
      <c r="B22" s="16" t="n">
        <v>5622</v>
      </c>
      <c r="C22" s="16" t="n">
        <f aca="false">$J$5*B22+(1-$J$5)*C21</f>
        <v>5434.10163272786</v>
      </c>
    </row>
    <row r="23" customFormat="false" ht="15" hidden="false" customHeight="false" outlineLevel="0" collapsed="false">
      <c r="A23" s="15" t="s">
        <v>86</v>
      </c>
      <c r="B23" s="16" t="n">
        <v>5530</v>
      </c>
      <c r="C23" s="16" t="n">
        <f aca="false">$J$5*B23+(1-$J$5)*C22</f>
        <v>5462.8711429095</v>
      </c>
    </row>
    <row r="24" customFormat="false" ht="15" hidden="false" customHeight="false" outlineLevel="0" collapsed="false">
      <c r="A24" s="15" t="s">
        <v>87</v>
      </c>
      <c r="B24" s="16" t="n">
        <v>5980</v>
      </c>
      <c r="C24" s="16" t="n">
        <f aca="false">$J$5*B24+(1-$J$5)*C23</f>
        <v>5618.00980003665</v>
      </c>
    </row>
    <row r="25" customFormat="false" ht="15" hidden="false" customHeight="false" outlineLevel="0" collapsed="false">
      <c r="A25" s="15" t="s">
        <v>88</v>
      </c>
      <c r="B25" s="16" t="n">
        <v>5955</v>
      </c>
      <c r="C25" s="16" t="n">
        <f aca="false">$J$5*B25+(1-$J$5)*C24</f>
        <v>5719.10686002566</v>
      </c>
    </row>
    <row r="26" customFormat="false" ht="15" hidden="false" customHeight="false" outlineLevel="0" collapsed="false">
      <c r="A26" s="15" t="s">
        <v>89</v>
      </c>
      <c r="B26" s="16" t="n">
        <v>7520</v>
      </c>
      <c r="C26" s="16" t="n">
        <f aca="false">$J$5*B26+(1-$J$5)*C25</f>
        <v>6259.37480201796</v>
      </c>
    </row>
    <row r="27" customFormat="false" ht="15" hidden="false" customHeight="false" outlineLevel="0" collapsed="false">
      <c r="A27" s="15" t="s">
        <v>90</v>
      </c>
      <c r="B27" s="16" t="n">
        <v>5999</v>
      </c>
      <c r="C27" s="16" t="n">
        <f aca="false">$J$5*B27+(1-$J$5)*C26</f>
        <v>6181.26236141257</v>
      </c>
    </row>
    <row r="28" customFormat="false" ht="15" hidden="false" customHeight="false" outlineLevel="0" collapsed="false">
      <c r="A28" s="15" t="s">
        <v>91</v>
      </c>
      <c r="B28" s="16" t="n">
        <v>7101</v>
      </c>
      <c r="C28" s="16" t="n">
        <f aca="false">$J$5*B28+(1-$J$5)*C27</f>
        <v>6457.1836529888</v>
      </c>
    </row>
    <row r="29" customFormat="false" ht="15" hidden="false" customHeight="false" outlineLevel="0" collapsed="false">
      <c r="A29" s="15" t="s">
        <v>92</v>
      </c>
      <c r="B29" s="16" t="n">
        <v>7595</v>
      </c>
      <c r="C29" s="16" t="n">
        <f aca="false">$J$5*B29+(1-$J$5)*C28</f>
        <v>6798.52855709216</v>
      </c>
    </row>
    <row r="30" customFormat="false" ht="15" hidden="false" customHeight="false" outlineLevel="0" collapsed="false">
      <c r="A30" s="15" t="s">
        <v>93</v>
      </c>
      <c r="B30" s="16" t="n">
        <v>6170</v>
      </c>
      <c r="C30" s="16" t="n">
        <f aca="false">$J$5*B30+(1-$J$5)*C29</f>
        <v>6609.96998996451</v>
      </c>
    </row>
    <row r="31" customFormat="false" ht="15" hidden="false" customHeight="false" outlineLevel="0" collapsed="false">
      <c r="A31" s="15" t="s">
        <v>94</v>
      </c>
      <c r="B31" s="16" t="n">
        <v>7823</v>
      </c>
      <c r="C31" s="16" t="n">
        <f aca="false">$J$5*B31+(1-$J$5)*C30</f>
        <v>6973.87899297516</v>
      </c>
    </row>
    <row r="32" customFormat="false" ht="15" hidden="false" customHeight="false" outlineLevel="0" collapsed="false">
      <c r="A32" s="15" t="s">
        <v>95</v>
      </c>
      <c r="B32" s="16" t="n">
        <v>8356</v>
      </c>
      <c r="C32" s="16" t="n">
        <f aca="false">$J$5*B32+(1-$J$5)*C31</f>
        <v>7388.51529508261</v>
      </c>
    </row>
    <row r="33" customFormat="false" ht="15" hidden="false" customHeight="false" outlineLevel="0" collapsed="false">
      <c r="A33" s="15" t="s">
        <v>96</v>
      </c>
      <c r="B33" s="16" t="n">
        <v>7471</v>
      </c>
      <c r="C33" s="16" t="n">
        <f aca="false">$J$5*B33+(1-$J$5)*C32</f>
        <v>7413.26070655783</v>
      </c>
    </row>
    <row r="34" customFormat="false" ht="15" hidden="false" customHeight="false" outlineLevel="0" collapsed="false">
      <c r="A34" s="15" t="s">
        <v>97</v>
      </c>
      <c r="B34" s="16" t="n">
        <v>6811</v>
      </c>
      <c r="C34" s="16" t="n">
        <f aca="false">$J$5*B34+(1-$J$5)*C33</f>
        <v>7232.58249459048</v>
      </c>
    </row>
    <row r="35" customFormat="false" ht="15" hidden="false" customHeight="false" outlineLevel="0" collapsed="false">
      <c r="A35" s="12" t="s">
        <v>98</v>
      </c>
      <c r="B35" s="20" t="n">
        <v>6687</v>
      </c>
      <c r="C35" s="16" t="n">
        <f aca="false">$J$5*B35+(1-$J$5)*C34</f>
        <v>7068.90774621334</v>
      </c>
      <c r="D35" s="18"/>
      <c r="E35" s="18"/>
      <c r="F35" s="18"/>
      <c r="G35" s="18"/>
    </row>
    <row r="36" customFormat="false" ht="15" hidden="false" customHeight="false" outlineLevel="0" collapsed="false">
      <c r="A36" s="12" t="s">
        <v>100</v>
      </c>
      <c r="B36" s="20" t="n">
        <v>6896</v>
      </c>
      <c r="C36" s="16" t="n">
        <f aca="false">$J$5*B36+(1-$J$5)*C35</f>
        <v>7017.03542234933</v>
      </c>
      <c r="D36" s="18"/>
      <c r="E36" s="18"/>
      <c r="F36" s="18"/>
      <c r="G36" s="18"/>
    </row>
    <row r="37" customFormat="false" ht="15" hidden="false" customHeight="false" outlineLevel="0" collapsed="false">
      <c r="A37" s="12" t="s">
        <v>101</v>
      </c>
      <c r="B37" s="20" t="n">
        <v>7737</v>
      </c>
      <c r="C37" s="16" t="n">
        <f aca="false">$J$5*B37+(1-$J$5)*C36</f>
        <v>7233.02479564453</v>
      </c>
      <c r="D37" s="18"/>
      <c r="E37" s="18"/>
      <c r="F37" s="18"/>
      <c r="G37" s="18"/>
    </row>
    <row r="38" customFormat="false" ht="15" hidden="false" customHeight="false" outlineLevel="0" collapsed="false">
      <c r="A38" s="12" t="s">
        <v>102</v>
      </c>
      <c r="B38" s="20" t="n">
        <v>8871</v>
      </c>
      <c r="C38" s="16" t="n">
        <f aca="false">$J$5*B38+(1-$J$5)*C37</f>
        <v>7724.41735695117</v>
      </c>
      <c r="D38" s="18"/>
      <c r="E38" s="18"/>
      <c r="F38" s="18"/>
      <c r="G38" s="18"/>
    </row>
    <row r="39" customFormat="false" ht="15" hidden="false" customHeight="false" outlineLevel="0" collapsed="false">
      <c r="A39" s="12" t="s">
        <v>103</v>
      </c>
      <c r="B39" s="20" t="n">
        <v>8539</v>
      </c>
      <c r="C39" s="16" t="n">
        <f aca="false">$J$5*B39+(1-$J$5)*C38</f>
        <v>7968.79214986582</v>
      </c>
      <c r="D39" s="18"/>
      <c r="E39" s="18"/>
      <c r="F39" s="18"/>
      <c r="G39" s="18"/>
    </row>
    <row r="40" customFormat="false" ht="15" hidden="false" customHeight="false" outlineLevel="0" collapsed="false">
      <c r="A40" s="12" t="s">
        <v>104</v>
      </c>
      <c r="B40" s="20" t="n">
        <v>7611</v>
      </c>
      <c r="C40" s="16" t="n">
        <f aca="false">$J$5*B40+(1-$J$5)*C39</f>
        <v>7861.45450490607</v>
      </c>
      <c r="D40" s="18"/>
      <c r="E40" s="18"/>
      <c r="F40" s="18"/>
      <c r="G4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0" hidden="false" customHeight="true" outlineLevel="0" collapsed="false">
      <c r="A4" s="6" t="s">
        <v>124</v>
      </c>
      <c r="B4" s="6" t="s">
        <v>125</v>
      </c>
      <c r="C4" s="6" t="s">
        <v>126</v>
      </c>
      <c r="D4" s="6" t="s">
        <v>127</v>
      </c>
      <c r="E4" s="6" t="s">
        <v>128</v>
      </c>
    </row>
    <row r="5" customFormat="false" ht="15" hidden="false" customHeight="false" outlineLevel="0" collapsed="false">
      <c r="A5" s="7" t="s">
        <v>129</v>
      </c>
      <c r="B5" s="19"/>
      <c r="C5" s="19"/>
      <c r="D5" s="19"/>
      <c r="E5" s="10"/>
    </row>
    <row r="6" customFormat="false" ht="15" hidden="false" customHeight="false" outlineLevel="0" collapsed="false">
      <c r="A6" s="7" t="s">
        <v>130</v>
      </c>
      <c r="B6" s="19"/>
      <c r="C6" s="19"/>
      <c r="D6" s="19"/>
      <c r="E6" s="10"/>
    </row>
    <row r="7" customFormat="false" ht="15" hidden="false" customHeight="false" outlineLevel="0" collapsed="false">
      <c r="A7" s="7" t="s">
        <v>131</v>
      </c>
      <c r="B7" s="19"/>
      <c r="C7" s="19"/>
      <c r="D7" s="19"/>
      <c r="E7" s="10"/>
    </row>
    <row r="9" customFormat="false" ht="15" hidden="false" customHeight="false" outlineLevel="0" collapsed="false">
      <c r="A9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2026-10-24T23:10:06Z</dcterms:created>
  <dc:creator>openpyxl</dc:creator>
  <dc:description/>
  <dc:language>en-US</dc:language>
  <cp:lastModifiedBy/>
  <dcterms:modified xsi:type="dcterms:W3CDTF">2026-10-24T23:10:07Z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