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media/image1.png" ContentType="image/p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sharedStrings.xml" ContentType="application/vnd.openxmlformats-officedocument.spreadsheetml.sharedString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Bai1_ChiSo" sheetId="2" state="visible" r:id="rId4"/>
    <sheet name="Bai2_DuBao12T" sheetId="3" state="visible" r:id="rId5"/>
    <sheet name="Bai3_HoltWinters" sheetId="4" state="visible" r:id="rId6"/>
    <sheet name="Bai4_Tet" sheetId="5" state="visible" r:id="rId7"/>
    <sheet name="MoRong_PreBuil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2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3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4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5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6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7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8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19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0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1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2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3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4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5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6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7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8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29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30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31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32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33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D34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1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2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3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4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5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6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7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8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19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0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1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2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3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4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5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6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7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8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29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30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31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32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33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H34" authorId="0">
      <text>
        <r>
          <rPr>
            <sz val="10"/>
            <rFont val="Arial"/>
            <family val="2"/>
          </rPr>
          <t xml:space="preserve">(AVERAGE 12 tháng từ t−6 đến t+5 + AVERAGE 12 tháng từ t−5 đến t+6)/2</t>
        </r>
      </text>
    </comment>
    <comment ref="L5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6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7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8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9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10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11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12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13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14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15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L16" authorId="0">
      <text>
        <r>
          <rPr>
            <sz val="10"/>
            <rFont val="Arial"/>
            <family val="2"/>
          </rPr>
          <t xml:space="preserve">AVERAGEIF(cột tháng số = k, cột tỷ lệ)</t>
        </r>
      </text>
    </comment>
    <comment ref="M5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6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7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8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9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10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11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12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13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14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15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  <comment ref="M16" authorId="0">
      <text>
        <r>
          <rPr>
            <sz val="10"/>
            <rFont val="Arial"/>
            <family val="2"/>
          </rPr>
          <t xml:space="preserve">Chuẩn hóa: chia cho trung bình 12 chỉ số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6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7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8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9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0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1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2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3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4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5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6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7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8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19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0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1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2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3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4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5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6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7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8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29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0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1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2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3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4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5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6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7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8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39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  <comment ref="E40" authorId="0">
      <text>
        <r>
          <rPr>
            <sz val="10"/>
            <rFont val="Arial"/>
            <family val="2"/>
          </rPr>
          <t xml:space="preserve">INDEX(cột chỉ số B01, tháng số)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7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18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19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0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1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2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3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4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5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6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7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8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29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30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31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32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33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C34" authorId="0">
      <text>
        <r>
          <rPr>
            <sz val="10"/>
            <rFont val="Arial"/>
            <family val="2"/>
          </rPr>
          <t xml:space="preserve">L = α×(Actual/S năm trước) + (1−α)×(L trước + T trước)</t>
        </r>
      </text>
    </comment>
    <comment ref="E17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18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19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0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1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2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3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4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5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6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7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8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29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30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31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32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33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E34" authorId="0">
      <text>
        <r>
          <rPr>
            <sz val="10"/>
            <rFont val="Arial"/>
            <family val="2"/>
          </rPr>
          <t xml:space="preserve">S = γ×(Actual/L) + (1−γ)×S năm trước</t>
        </r>
      </text>
    </comment>
    <comment ref="F17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18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19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0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1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2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3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4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5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6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7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8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29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30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31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32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33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34" authorId="0">
      <text>
        <r>
          <rPr>
            <sz val="10"/>
            <rFont val="Arial"/>
            <family val="2"/>
          </rPr>
          <t xml:space="preserve">F = (L trước + T trước) × S cùng tháng năm trước</t>
        </r>
      </text>
    </comment>
    <comment ref="F35" authorId="0">
      <text>
        <r>
          <rPr>
            <sz val="10"/>
            <rFont val="Arial"/>
            <family val="2"/>
          </rPr>
          <t xml:space="preserve">Test: (L cuối train + h×T cuối train) × S cùng tháng năm trước</t>
        </r>
      </text>
    </comment>
    <comment ref="F36" authorId="0">
      <text>
        <r>
          <rPr>
            <sz val="10"/>
            <rFont val="Arial"/>
            <family val="2"/>
          </rPr>
          <t xml:space="preserve">Test: (L cuối train + h×T cuối train) × S cùng tháng năm trước</t>
        </r>
      </text>
    </comment>
    <comment ref="F37" authorId="0">
      <text>
        <r>
          <rPr>
            <sz val="10"/>
            <rFont val="Arial"/>
            <family val="2"/>
          </rPr>
          <t xml:space="preserve">Test: (L cuối train + h×T cuối train) × S cùng tháng năm trước</t>
        </r>
      </text>
    </comment>
    <comment ref="F38" authorId="0">
      <text>
        <r>
          <rPr>
            <sz val="10"/>
            <rFont val="Arial"/>
            <family val="2"/>
          </rPr>
          <t xml:space="preserve">Test: (L cuối train + h×T cuối train) × S cùng tháng năm trước</t>
        </r>
      </text>
    </comment>
    <comment ref="F39" authorId="0">
      <text>
        <r>
          <rPr>
            <sz val="10"/>
            <rFont val="Arial"/>
            <family val="2"/>
          </rPr>
          <t xml:space="preserve">Test: (L cuối train + h×T cuối train) × S cùng tháng năm trước</t>
        </r>
      </text>
    </comment>
    <comment ref="F40" authorId="0">
      <text>
        <r>
          <rPr>
            <sz val="10"/>
            <rFont val="Arial"/>
            <family val="2"/>
          </rPr>
          <t xml:space="preserve">Test: (L cuối train + h×T cuối train) × S cùng tháng năm trước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Cộng 3 tháng T12 năm trước, T1, T2 (cột S01 ở Bài 1)</t>
        </r>
      </text>
    </comment>
    <comment ref="B13" authorId="0">
      <text>
        <r>
          <rPr>
            <sz val="10"/>
            <rFont val="Arial"/>
            <family val="2"/>
          </rPr>
          <t xml:space="preserve">Cộng 3 tháng T12 năm trước, T1, T2 (cột S01 ở Bài 1)</t>
        </r>
      </text>
    </comment>
    <comment ref="B14" authorId="0">
      <text>
        <r>
          <rPr>
            <sz val="10"/>
            <rFont val="Arial"/>
            <family val="2"/>
          </rPr>
          <t xml:space="preserve">Cộng 3 tháng T12 năm trước, T1, T2 (cột S01 ở Bài 1)</t>
        </r>
      </text>
    </comment>
    <comment ref="B18" authorId="0">
      <text>
        <r>
          <rPr>
            <sz val="10"/>
            <rFont val="Arial"/>
            <family val="2"/>
          </rPr>
          <t xml:space="preserve">Giả định — ghi vào nhật ký giả định</t>
        </r>
      </text>
    </comment>
    <comment ref="B19" authorId="0">
      <text>
        <r>
          <rPr>
            <sz val="10"/>
            <rFont val="Arial"/>
            <family val="2"/>
          </rPr>
          <t xml:space="preserve">Giả định từ kinh nghiệm; kiểm chứng sau Tết</t>
        </r>
      </text>
    </comment>
    <comment ref="D12" authorId="0">
      <text>
        <r>
          <rPr>
            <sz val="10"/>
            <rFont val="Arial"/>
            <family val="2"/>
          </rPr>
          <t xml:space="preserve">=(T12+T1+T2 − 3 × mức thường) / mức thường</t>
        </r>
      </text>
    </comment>
    <comment ref="D13" authorId="0">
      <text>
        <r>
          <rPr>
            <sz val="10"/>
            <rFont val="Arial"/>
            <family val="2"/>
          </rPr>
          <t xml:space="preserve">=(T12+T1+T2 − 3 × mức thường) / mức thường</t>
        </r>
      </text>
    </comment>
    <comment ref="D14" authorId="0">
      <text>
        <r>
          <rPr>
            <sz val="10"/>
            <rFont val="Arial"/>
            <family val="2"/>
          </rPr>
          <t xml:space="preserve">=(T12+T1+T2 − 3 × mức thường) / mức thường</t>
        </r>
      </text>
    </comment>
    <comment ref="D24" authorId="0">
      <text>
        <r>
          <rPr>
            <sz val="10"/>
            <rFont val="Arial"/>
            <family val="2"/>
          </rPr>
          <t xml:space="preserve">= Mức thường × (1 + R × trước Tết) × (1 − sụt × sau Tết)</t>
        </r>
      </text>
    </comment>
    <comment ref="D25" authorId="0">
      <text>
        <r>
          <rPr>
            <sz val="10"/>
            <rFont val="Arial"/>
            <family val="2"/>
          </rPr>
          <t xml:space="preserve">= Mức thường × (1 + R × trước Tết) × (1 − sụt × sau Tết)</t>
        </r>
      </text>
    </comment>
    <comment ref="D26" authorId="0">
      <text>
        <r>
          <rPr>
            <sz val="10"/>
            <rFont val="Arial"/>
            <family val="2"/>
          </rPr>
          <t xml:space="preserve">= Mức thường × (1 + R × trước Tết) × (1 − sụt × sau Tết)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Chuyển về tháng 12 tối đa bằng phần dư năng lực tháng 12 (số âm = sản xuất thêm)</t>
        </r>
      </text>
    </comment>
    <comment ref="E10" authorId="0">
      <text>
        <r>
          <rPr>
            <sz val="10"/>
            <rFont val="Arial"/>
            <family val="2"/>
          </rPr>
          <t xml:space="preserve">Phần thiếu tháng 1</t>
        </r>
      </text>
    </comment>
  </commentList>
</comments>
</file>

<file path=xl/sharedStrings.xml><?xml version="1.0" encoding="utf-8"?>
<sst xmlns="http://schemas.openxmlformats.org/spreadsheetml/2006/main" count="290" uniqueCount="187">
  <si>
    <t xml:space="preserve">BUỔI 5 · MÙA VỤ &amp; HIỆU ỨNG TẾT ÂM LỊCH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</si>
  <si>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</si>
  <si>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</si>
  <si>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</si>
  <si>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Tính chỉ số mùa vụ bằng tỷ lệ so với trung bình trượt trung tâm 2×12, chuẩn hóa trung bình = 1.</t>
  </si>
  <si>
    <t xml:space="preserve">Khử mùa vụ để so sánh công bằng; dự báo 12 tháng = xu hướng × chỉ số mùa vụ.</t>
  </si>
  <si>
    <t xml:space="preserve">Dựng Holt-Winters nhân và so với Seasonal Naive trên test.</t>
  </si>
  <si>
    <t xml:space="preserve">Xử lý Tết âm lịch dịch tháng: gộp T12–T2, tách 'phần Tết', chia lại theo lịch Tết của năm cần dự báo.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</si>
  <si>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</si>
  <si>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</si>
  <si>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</si>
  <si>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</si>
  <si>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Bai1_ChiSo</t>
  </si>
  <si>
    <t xml:space="preserve">Chỉ số mùa vụ cho S01 GT (Tết) và B01 GT (mùa hè), dùng chuỗi đã loại sự kiện một lần.</t>
  </si>
  <si>
    <t xml:space="preserve">15'</t>
  </si>
  <si>
    <t xml:space="preserve">Bai2_DuBao12T</t>
  </si>
  <si>
    <t xml:space="preserve">B01 GT: khử mùa vụ → xu hướng tuyến tính → nhân lại chỉ số → 12 tháng 10/2026–09/2027.</t>
  </si>
  <si>
    <t xml:space="preserve">10'</t>
  </si>
  <si>
    <t xml:space="preserve">Bai3_HoltWinters</t>
  </si>
  <si>
    <t xml:space="preserve">B01 GT: Holt-Winters nhân với tham số cho sẵn; chấm test, so Seasonal Naive.</t>
  </si>
  <si>
    <t xml:space="preserve">Bai4_Tet</t>
  </si>
  <si>
    <t xml:space="preserve">S01 GT: Tết 2027 (06/02) sớm hơn Tết 2026 (17/02) 11 ngày → dự báo T12/2026–T2/2027.</t>
  </si>
  <si>
    <t xml:space="preserve">MoRong_PreBuild</t>
  </si>
  <si>
    <t xml:space="preserve">Dây chuyền nước chấm: đỉnh Tết vượt năng lực → sản xuất trước (pre-build) bao nhiêu, khi nào?</t>
  </si>
  <si>
    <t xml:space="preserve">5'+</t>
  </si>
  <si>
    <t xml:space="preserve">Dữ liệu</t>
  </si>
  <si>
    <t xml:space="preserve">demand_clean (cột demand_ex_event) cho S01 GT, B01 GT; bảng calendar (tỷ trọng cửa sổ trước/sau Tết).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</si>
  <si>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</si>
  <si>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</si>
  <si>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</si>
  <si>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</si>
  <si>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</si>
  <si>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</si>
  <si>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</si>
  <si>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Chuỗi dùng: demand_ex_event (đã nội suy tháng sự kiện 06–07/2024 của S01) — nếu không loại, chỉ số tháng 6 bị thổi phồng.</t>
  </si>
  <si>
    <t xml:space="preserve">Excel 365 có hàm FORECAST.ETS (Holt-Winters tự động). Bài này dựng tay để hiểu bên trong hàm làm gì.</t>
  </si>
  <si>
    <t xml:space="preserve">Mọi giả định (tăng trưởng 3%, sụt sau Tết 15%) phải ghi vào nhật ký giả định.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</si>
  <si>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</si>
  <si>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Bài 1 · Chỉ số mùa vụ (ratio-to-moving-average)</t>
  </si>
  <si>
    <t xml:space="preserve">CMA 2×12 = (TB 12 tháng kết thúc tại t+6 + TB 12 tháng kết thúc tại t+5)/2 → dòng đầu/cuối 6 tháng để trống.</t>
  </si>
  <si>
    <t xml:space="preserve">Tháng</t>
  </si>
  <si>
    <t xml:space="preserve">Tháng số</t>
  </si>
  <si>
    <t xml:space="preserve">S01 GT</t>
  </si>
  <si>
    <t xml:space="preserve">CMA S01</t>
  </si>
  <si>
    <t xml:space="preserve">Tỷ lệ S01</t>
  </si>
  <si>
    <t xml:space="preserve">B01 GT</t>
  </si>
  <si>
    <t xml:space="preserve">CMA B01</t>
  </si>
  <si>
    <t xml:space="preserve">Tỷ lệ B01</t>
  </si>
  <si>
    <t xml:space="preserve">TB tỷ lệ S01</t>
  </si>
  <si>
    <t xml:space="preserve">Chỉ số S01</t>
  </si>
  <si>
    <t xml:space="preserve">TB tỷ lệ B01</t>
  </si>
  <si>
    <t xml:space="preserve">Chỉ số B01</t>
  </si>
  <si>
    <t xml:space="preserve">2023-10</t>
  </si>
  <si>
    <t xml:space="preserve">T1</t>
  </si>
  <si>
    <t xml:space="preserve">2023-11</t>
  </si>
  <si>
    <t xml:space="preserve">T2</t>
  </si>
  <si>
    <t xml:space="preserve">2023-12</t>
  </si>
  <si>
    <t xml:space="preserve">T3</t>
  </si>
  <si>
    <t xml:space="preserve">2024-01</t>
  </si>
  <si>
    <t xml:space="preserve">T4</t>
  </si>
  <si>
    <t xml:space="preserve">2024-02</t>
  </si>
  <si>
    <t xml:space="preserve">T5</t>
  </si>
  <si>
    <t xml:space="preserve">2024-03</t>
  </si>
  <si>
    <t xml:space="preserve">T6</t>
  </si>
  <si>
    <t xml:space="preserve">2024-04</t>
  </si>
  <si>
    <t xml:space="preserve">T7</t>
  </si>
  <si>
    <t xml:space="preserve">2024-05</t>
  </si>
  <si>
    <t xml:space="preserve">T8</t>
  </si>
  <si>
    <t xml:space="preserve">2024-06</t>
  </si>
  <si>
    <t xml:space="preserve">T9</t>
  </si>
  <si>
    <t xml:space="preserve">2024-07</t>
  </si>
  <si>
    <t xml:space="preserve">T10</t>
  </si>
  <si>
    <t xml:space="preserve">2024-08</t>
  </si>
  <si>
    <t xml:space="preserve">T11</t>
  </si>
  <si>
    <t xml:space="preserve">2024-09</t>
  </si>
  <si>
    <t xml:space="preserve">T12</t>
  </si>
  <si>
    <t xml:space="preserve">2024-10</t>
  </si>
  <si>
    <t xml:space="preserve">2024-11</t>
  </si>
  <si>
    <t xml:space="preserve">Kiểm tra: TB chỉ số</t>
  </si>
  <si>
    <t xml:space="preserve">2024-12</t>
  </si>
  <si>
    <t xml:space="preserve">Biên độ max/min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</si>
  <si>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</si>
  <si>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</si>
  <si>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</si>
  <si>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</si>
  <si>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</si>
  <si>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</si>
  <si>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</si>
  <si>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</si>
  <si>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</si>
  <si>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</si>
  <si>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</si>
  <si>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</si>
  <si>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</si>
  <si>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</si>
  <si>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</si>
  <si>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</si>
  <si>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</si>
  <si>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</si>
  <si>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S01: đỉnh tháng 1 (Tết) — nhưng Tết không cố định tháng! B01: mùa hè, biên độ lớn → mùa vụ NHÂN.</t>
  </si>
  <si>
    <t xml:space="preserve">2026-07</t>
  </si>
  <si>
    <t xml:space="preserve">2026-08</t>
  </si>
  <si>
    <t xml:space="preserve">2026-09</t>
  </si>
  <si>
    <t xml:space="preserve">Bài 2 · B01 GT: khử mùa vụ → xu hướng → dự báo 12 tháng</t>
  </si>
  <si>
    <t xml:space="preserve">Chỉ số lấy từ Bài 1 (cột O). Xu hướng: SLOPE/INTERCEPT trên chuỗi đã khử mùa vụ.</t>
  </si>
  <si>
    <t xml:space="preserve">t</t>
  </si>
  <si>
    <t xml:space="preserve">Actual</t>
  </si>
  <si>
    <t xml:space="preserve">Chỉ số</t>
  </si>
  <si>
    <t xml:space="preserve">Đã khử mùa vụ</t>
  </si>
  <si>
    <t xml:space="preserve">Xu hướng</t>
  </si>
  <si>
    <t xml:space="preserve">Hệ số góc (thùng/tháng)</t>
  </si>
  <si>
    <t xml:space="preserve">Hệ số chặn</t>
  </si>
  <si>
    <t xml:space="preserve">Tăng trưởng %/năm (≈)</t>
  </si>
  <si>
    <t xml:space="preserve">Dự báo 12 tháng</t>
  </si>
  <si>
    <t xml:space="preserve">Dự báo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</si>
  <si>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</si>
  <si>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</si>
  <si>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</si>
  <si>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</si>
  <si>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</si>
  <si>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</si>
  <si>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</si>
  <si>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</si>
  <si>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</si>
  <si>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</si>
  <si>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</si>
  <si>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</si>
  <si>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Tổng 12 tháng</t>
  </si>
  <si>
    <t xml:space="preserve">Bài 3 · Holt-Winters NHÂN cho B01 GT</t>
  </si>
  <si>
    <t xml:space="preserve">Năm đầu (12 tháng) dùng để khởi tạo. Từ tháng 13: L, T, S cập nhật. Tham số đã tối ưu trên train (Python ≈ Solver).</t>
  </si>
  <si>
    <t xml:space="preserve">L</t>
  </si>
  <si>
    <t xml:space="preserve">T</t>
  </si>
  <si>
    <t xml:space="preserve">S</t>
  </si>
  <si>
    <t xml:space="preserve">F</t>
  </si>
  <si>
    <t xml:space="preserve">e</t>
  </si>
  <si>
    <t xml:space="preserve">Tham số</t>
  </si>
  <si>
    <t xml:space="preserve">Giá trị</t>
  </si>
  <si>
    <t xml:space="preserve">α (mức)</t>
  </si>
  <si>
    <t xml:space="preserve">β (xu hướng)</t>
  </si>
  <si>
    <t xml:space="preserve">γ (mùa vụ)</t>
  </si>
  <si>
    <t xml:space="preserve">Kết quả trên test</t>
  </si>
  <si>
    <t xml:space="preserve">WMAPE Holt-Winters</t>
  </si>
  <si>
    <t xml:space="preserve">WMAPE Seasonal Naive</t>
  </si>
  <si>
    <t xml:space="preserve">WMAPE Naive (Buổi 3)</t>
  </si>
  <si>
    <t xml:space="preserve">Thử: đổi γ = 0 (mùa vụ cố định) hoặc γ = 0,8 rồi quan sát WMAPE.</t>
  </si>
  <si>
    <t xml:space="preserve">Bài 4 · S01 Nước mắm GT: Tết dịch tháng</t>
  </si>
  <si>
    <t xml:space="preserve">Cửa sổ mua sắm = 35 ngày trước Tết; sụt sau Tết = 15 ngày sau Tết. Tỷ trọng lấy từ bảng calendar.</t>
  </si>
  <si>
    <t xml:space="preserve">Năm (Tết)</t>
  </si>
  <si>
    <t xml:space="preserve">Ngày Tết</t>
  </si>
  <si>
    <t xml:space="preserve">Trước Tết · T12</t>
  </si>
  <si>
    <t xml:space="preserve">Trước Tết · T1</t>
  </si>
  <si>
    <t xml:space="preserve">Trước Tết · T2</t>
  </si>
  <si>
    <t xml:space="preserve">Sau Tết · T1</t>
  </si>
  <si>
    <t xml:space="preserve">Sau Tết · T2</t>
  </si>
  <si>
    <t xml:space="preserve">10/02/2024</t>
  </si>
  <si>
    <t xml:space="preserve">29/01/2025</t>
  </si>
  <si>
    <t xml:space="preserve">17/02/2026</t>
  </si>
  <si>
    <t xml:space="preserve">06/02/2027</t>
  </si>
  <si>
    <t xml:space="preserve">Lịch sử: 'phần Tết' tính bằng số tháng-thường</t>
  </si>
  <si>
    <t xml:space="preserve">Năm</t>
  </si>
  <si>
    <t xml:space="preserve">T12+T1+T2</t>
  </si>
  <si>
    <t xml:space="preserve">Mức thường (TB T3–T9)</t>
  </si>
  <si>
    <t xml:space="preserve">Phần Tết (tháng-thường)</t>
  </si>
  <si>
    <t xml:space="preserve">Phần Tết trung bình (R)</t>
  </si>
  <si>
    <t xml:space="preserve">Giả định 2027</t>
  </si>
  <si>
    <t xml:space="preserve">Tăng trưởng mức thường 2027/2026</t>
  </si>
  <si>
    <t xml:space="preserve">Mức sụt cho phần ngày sau Tết</t>
  </si>
  <si>
    <t xml:space="preserve">Mức thường 2027</t>
  </si>
  <si>
    <t xml:space="preserve">Phần Tết 2027 (thùng)</t>
  </si>
  <si>
    <t xml:space="preserve">Tỷ trọng trước Tết</t>
  </si>
  <si>
    <t xml:space="preserve">Tỷ trọng sau Tết</t>
  </si>
  <si>
    <t xml:space="preserve">Dự báo theo lịch Tết</t>
  </si>
  <si>
    <t xml:space="preserve">Cùng kỳ năm trước +3%</t>
  </si>
  <si>
    <t xml:space="preserve">Chênh lệch</t>
  </si>
  <si>
    <t xml:space="preserve">Tết 2027 sớm: tháng 2 gần như không còn ngày mua sắm Tết</t>
  </si>
  <si>
    <t xml:space="preserve">Kết luận mẫu: copy cùng kỳ năm trước làm tháng 2/2027 dư khoảng 2.400 thùng nước mắm (~27%). Tháng 1 hai cách gần nhau vì năm 2026 tháng 1 đã chứa 54% cửa sổ Tết.</t>
  </si>
  <si>
    <t xml:space="preserve">Mở rộng · Pre-build cho đỉnh Tết — dây chuyền chiết rót nước chấm (S01, S02, S06N)</t>
  </si>
  <si>
    <t xml:space="preserve">Số nhu cầu là MINH HỌA (đã làm tròn từ dự báo của lớp). Năng lực từ bảng capacity.</t>
  </si>
  <si>
    <t xml:space="preserve">Chỉ tiêu</t>
  </si>
  <si>
    <t xml:space="preserve">Nhu cầu chưa giới hạn</t>
  </si>
  <si>
    <t xml:space="preserve">Năng lực thường</t>
  </si>
  <si>
    <t xml:space="preserve">Năng lực tăng ca</t>
  </si>
  <si>
    <t xml:space="preserve">Năng lực tối đa</t>
  </si>
  <si>
    <t xml:space="preserve">Thiếu (+) / dư (−)</t>
  </si>
  <si>
    <t xml:space="preserve">Pre-build cần chuyển về trước</t>
  </si>
  <si>
    <t xml:space="preserve">Kế hoạch sản xuất</t>
  </si>
  <si>
    <t xml:space="preserve">Gợi ý: phần thiếu tháng 1 phải sản xuất ở tháng 12 (hoặc 11) khi còn dư năng lực. Hạn dùng nước mắm 540 ngày nên pre-build an toàn; với mì (180 ngày) phải cân nhắc kỹ hơn.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</si>
</sst>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"/>
    <numFmt numFmtId="167" formatCode="0.00"/>
    <numFmt numFmtId="168" formatCode="#,##0.0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A3A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A3A"/>
      <rgbColor rgb="FFD9D9D9"/>
      <rgbColor rgb="FF878787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C9"/>
      <rgbColor rgb="FF33CCCC"/>
      <rgbColor rgb="FF99CC00"/>
      <rgbColor rgb="FFFFCC00"/>
      <rgbColor rgb="FFFF9900"/>
      <rgbColor rgb="FFFF6600"/>
      <rgbColor rgb="FF76777B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Chỉ số mùa vụ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Bai1_ChiSo!M4</c:f>
              <c:strCache>
                <c:ptCount val="1"/>
                <c:pt idx="0">
                  <c:v>Chỉ số S01</c:v>
                </c:pt>
              </c:strCache>
            </c:strRef>
          </c:tx>
          <c:spPr>
            <a:solidFill>
              <a:srgbClr val="008a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Bai1_ChiSo!$K$5:$K$16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Bai1_ChiSo!$M$5:$M$16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Bai1_ChiSo!O4</c:f>
              <c:strCache>
                <c:ptCount val="1"/>
                <c:pt idx="0">
                  <c:v>Chỉ số B01</c:v>
                </c:pt>
              </c:strCache>
            </c:strRef>
          </c:tx>
          <c:spPr>
            <a:solidFill>
              <a:srgbClr val="2563c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Bai1_ChiSo!$K$5:$K$16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Bai1_ChiSo!$O$5:$O$16</c:f>
              <c:numCache>
                <c:formatCode>General</c:formatCode>
                <c:ptCount val="12"/>
              </c:numCache>
            </c:numRef>
          </c:val>
        </c:ser>
        <c:gapWidth val="150"/>
        <c:overlap val="0"/>
        <c:axId val="92506935"/>
        <c:axId val="71973410"/>
      </c:barChart>
      <c:catAx>
        <c:axId val="92506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73410"/>
        <c:crosses val="autoZero"/>
        <c:auto val="1"/>
        <c:lblAlgn val="ctr"/>
        <c:lblOffset val="100"/>
        <c:noMultiLvlLbl val="0"/>
      </c:catAx>
      <c:valAx>
        <c:axId val="71973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06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B01 GT: thực tế và Holt-Winters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Bai3_HoltWinters!B4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f2421"/>
            </a:solidFill>
            <a:ln w="28440">
              <a:solidFill>
                <a:srgbClr val="1f24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Bai3_HoltWinters!$A$5:$A$40</c:f>
              <c:strCache>
                <c:ptCount val="36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  <c:pt idx="25">
                  <c:v>2025-11</c:v>
                </c:pt>
                <c:pt idx="26">
                  <c:v>2025-12</c:v>
                </c:pt>
                <c:pt idx="27">
                  <c:v>2026-01</c:v>
                </c:pt>
                <c:pt idx="28">
                  <c:v>2026-02</c:v>
                </c:pt>
                <c:pt idx="29">
                  <c:v>2026-03</c:v>
                </c:pt>
                <c:pt idx="30">
                  <c:v>2026-04</c:v>
                </c:pt>
                <c:pt idx="31">
                  <c:v>2026-05</c:v>
                </c:pt>
                <c:pt idx="32">
                  <c:v>2026-06</c:v>
                </c:pt>
                <c:pt idx="33">
                  <c:v>2026-07</c:v>
                </c:pt>
                <c:pt idx="34">
                  <c:v>2026-08</c:v>
                </c:pt>
                <c:pt idx="35">
                  <c:v>2026-09</c:v>
                </c:pt>
              </c:strCache>
            </c:strRef>
          </c:cat>
          <c:val>
            <c:numRef>
              <c:f>Bai3_HoltWinters!$B$5:$B$40</c:f>
              <c:numCache>
                <c:formatCode>#,##0</c:formatCode>
                <c:ptCount val="36"/>
                <c:pt idx="0">
                  <c:v>9030</c:v>
                </c:pt>
                <c:pt idx="1">
                  <c:v>10818</c:v>
                </c:pt>
                <c:pt idx="2">
                  <c:v>9463</c:v>
                </c:pt>
                <c:pt idx="3">
                  <c:v>7528</c:v>
                </c:pt>
                <c:pt idx="4">
                  <c:v>10148</c:v>
                </c:pt>
                <c:pt idx="5">
                  <c:v>11681</c:v>
                </c:pt>
                <c:pt idx="6">
                  <c:v>15566</c:v>
                </c:pt>
                <c:pt idx="7">
                  <c:v>16912</c:v>
                </c:pt>
                <c:pt idx="8">
                  <c:v>17536</c:v>
                </c:pt>
                <c:pt idx="9">
                  <c:v>16688</c:v>
                </c:pt>
                <c:pt idx="10">
                  <c:v>15900</c:v>
                </c:pt>
                <c:pt idx="11">
                  <c:v>15632</c:v>
                </c:pt>
                <c:pt idx="12">
                  <c:v>13037</c:v>
                </c:pt>
                <c:pt idx="13">
                  <c:v>9100</c:v>
                </c:pt>
                <c:pt idx="14">
                  <c:v>10301</c:v>
                </c:pt>
                <c:pt idx="15">
                  <c:v>11166</c:v>
                </c:pt>
                <c:pt idx="16">
                  <c:v>11732</c:v>
                </c:pt>
                <c:pt idx="17">
                  <c:v>12308</c:v>
                </c:pt>
                <c:pt idx="18">
                  <c:v>16557</c:v>
                </c:pt>
                <c:pt idx="19">
                  <c:v>19041</c:v>
                </c:pt>
                <c:pt idx="20">
                  <c:v>22664</c:v>
                </c:pt>
                <c:pt idx="21">
                  <c:v>17202</c:v>
                </c:pt>
                <c:pt idx="22">
                  <c:v>14835</c:v>
                </c:pt>
                <c:pt idx="23">
                  <c:v>12569</c:v>
                </c:pt>
                <c:pt idx="24">
                  <c:v>10881</c:v>
                </c:pt>
                <c:pt idx="25">
                  <c:v>9440</c:v>
                </c:pt>
                <c:pt idx="26">
                  <c:v>7311</c:v>
                </c:pt>
                <c:pt idx="27">
                  <c:v>8860</c:v>
                </c:pt>
                <c:pt idx="28">
                  <c:v>10764</c:v>
                </c:pt>
                <c:pt idx="29">
                  <c:v>12134</c:v>
                </c:pt>
                <c:pt idx="30">
                  <c:v>18378</c:v>
                </c:pt>
                <c:pt idx="31">
                  <c:v>18886</c:v>
                </c:pt>
                <c:pt idx="32">
                  <c:v>21194</c:v>
                </c:pt>
                <c:pt idx="33">
                  <c:v>19072</c:v>
                </c:pt>
                <c:pt idx="34">
                  <c:v>18180</c:v>
                </c:pt>
                <c:pt idx="35">
                  <c:v>14872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Bai3_HoltWinters!F4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008a3a"/>
            </a:solidFill>
            <a:ln w="28440">
              <a:solidFill>
                <a:srgbClr val="008a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Bai3_HoltWinters!$A$5:$A$40</c:f>
              <c:strCache>
                <c:ptCount val="36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  <c:pt idx="25">
                  <c:v>2025-11</c:v>
                </c:pt>
                <c:pt idx="26">
                  <c:v>2025-12</c:v>
                </c:pt>
                <c:pt idx="27">
                  <c:v>2026-01</c:v>
                </c:pt>
                <c:pt idx="28">
                  <c:v>2026-02</c:v>
                </c:pt>
                <c:pt idx="29">
                  <c:v>2026-03</c:v>
                </c:pt>
                <c:pt idx="30">
                  <c:v>2026-04</c:v>
                </c:pt>
                <c:pt idx="31">
                  <c:v>2026-05</c:v>
                </c:pt>
                <c:pt idx="32">
                  <c:v>2026-06</c:v>
                </c:pt>
                <c:pt idx="33">
                  <c:v>2026-07</c:v>
                </c:pt>
                <c:pt idx="34">
                  <c:v>2026-08</c:v>
                </c:pt>
                <c:pt idx="35">
                  <c:v>2026-09</c:v>
                </c:pt>
              </c:strCache>
            </c:strRef>
          </c:cat>
          <c:val>
            <c:numRef>
              <c:f>Bai3_HoltWinters!$F$5:$F$40</c:f>
              <c:numCache>
                <c:formatCode>General</c:formatCode>
                <c:ptCount val="36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366864"/>
        <c:axId val="88861288"/>
      </c:lineChart>
      <c:catAx>
        <c:axId val="8336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61288"/>
        <c:crosses val="autoZero"/>
        <c:auto val="1"/>
        <c:lblAlgn val="ctr"/>
        <c:lblOffset val="100"/>
        <c:noMultiLvlLbl val="0"/>
      </c:catAx>
      <c:valAx>
        <c:axId val="88861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66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20</xdr:row>
      <xdr:rowOff>0</xdr:rowOff>
    </xdr:from>
    <xdr:to>
      <xdr:col>17</xdr:col>
      <xdr:colOff>511200</xdr:colOff>
      <xdr:row>34</xdr:row>
      <xdr:rowOff>32760</xdr:rowOff>
    </xdr:to>
    <xdr:graphicFrame>
      <xdr:nvGraphicFramePr>
        <xdr:cNvPr id="1" name="Chart 1"/>
        <xdr:cNvGraphicFramePr/>
      </xdr:nvGraphicFramePr>
      <xdr:xfrm>
        <a:off x="5638680" y="4191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16</xdr:row>
      <xdr:rowOff>0</xdr:rowOff>
    </xdr:from>
    <xdr:to>
      <xdr:col>14</xdr:col>
      <xdr:colOff>423720</xdr:colOff>
      <xdr:row>31</xdr:row>
      <xdr:rowOff>21960</xdr:rowOff>
    </xdr:to>
    <xdr:graphicFrame>
      <xdr:nvGraphicFramePr>
        <xdr:cNvPr id="2" name="Chart 1"/>
        <xdr:cNvGraphicFramePr/>
      </xdr:nvGraphicFramePr>
      <xdr:xfrm>
        <a:off x="493380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15" hidden="false" customHeight="false" outlineLevel="0" collapsed="false">
      <c r="B9" s="4" t="s">
        <v>3</v>
      </c>
      <c r="C9" s="5" t="s">
        <v>6</v>
      </c>
    </row>
    <row r="10" customFormat="false" ht="23.8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30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  <c r="D16" s="9" t="s">
        <v>14</v>
      </c>
    </row>
    <row r="17" customFormat="false" ht="30" hidden="false" customHeight="true" outlineLevel="0" collapsed="false">
      <c r="B17" s="7" t="s">
        <v>20</v>
      </c>
      <c r="C17" s="8" t="s">
        <v>21</v>
      </c>
      <c r="D17" s="9" t="s">
        <v>14</v>
      </c>
    </row>
    <row r="18" customFormat="false" ht="30" hidden="false" customHeight="true" outlineLevel="0" collapsed="false">
      <c r="B18" s="7" t="s">
        <v>22</v>
      </c>
      <c r="C18" s="8" t="s">
        <v>23</v>
      </c>
      <c r="D18" s="9" t="s">
        <v>24</v>
      </c>
    </row>
    <row r="20" customFormat="false" ht="15" hidden="false" customHeight="false" outlineLevel="0" collapsed="false">
      <c r="B20" s="3" t="s">
        <v>25</v>
      </c>
    </row>
    <row r="21" customFormat="false" ht="30" hidden="false" customHeight="true" outlineLevel="0" collapsed="false">
      <c r="C21" s="5" t="s">
        <v>26</v>
      </c>
    </row>
    <row r="23" customFormat="false" ht="15" hidden="false" customHeight="false" outlineLevel="0" collapsed="false">
      <c r="B23" s="3" t="s">
        <v>27</v>
      </c>
    </row>
    <row r="24" customFormat="false" ht="15" hidden="false" customHeight="false" outlineLevel="0" collapsed="false">
      <c r="B24" s="10" t="s">
        <v>28</v>
      </c>
      <c r="C24" s="4" t="s">
        <v>29</v>
      </c>
    </row>
    <row r="25" customFormat="false" ht="15" hidden="false" customHeight="false" outlineLevel="0" collapsed="false">
      <c r="B25" s="11" t="s">
        <v>28</v>
      </c>
      <c r="C25" s="4" t="s">
        <v>30</v>
      </c>
    </row>
    <row r="26" customFormat="false" ht="15" hidden="false" customHeight="false" outlineLevel="0" collapsed="false">
      <c r="B26" s="12" t="s">
        <v>28</v>
      </c>
      <c r="C26" s="4" t="s">
        <v>31</v>
      </c>
    </row>
    <row r="27" customFormat="false" ht="15" hidden="false" customHeight="false" outlineLevel="0" collapsed="false">
      <c r="B27" s="13" t="s">
        <v>28</v>
      </c>
      <c r="C27" s="4" t="s">
        <v>32</v>
      </c>
    </row>
    <row r="29" customFormat="false" ht="15" hidden="false" customHeight="false" outlineLevel="0" collapsed="false">
      <c r="B29" s="3" t="s">
        <v>33</v>
      </c>
    </row>
    <row r="30" customFormat="false" ht="30" hidden="false" customHeight="true" outlineLevel="0" collapsed="false">
      <c r="B30" s="4" t="s">
        <v>3</v>
      </c>
      <c r="C30" s="5" t="s">
        <v>34</v>
      </c>
    </row>
    <row r="31" customFormat="false" ht="30" hidden="false" customHeight="true" outlineLevel="0" collapsed="false">
      <c r="B31" s="4" t="s">
        <v>3</v>
      </c>
      <c r="C31" s="5" t="s">
        <v>35</v>
      </c>
    </row>
    <row r="32" customFormat="false" ht="30" hidden="false" customHeight="true" outlineLevel="0" collapsed="false">
      <c r="B32" s="4" t="s">
        <v>3</v>
      </c>
      <c r="C32" s="5" t="s">
        <v>36</v>
      </c>
    </row>
    <row r="34" customFormat="false" ht="15" hidden="false" customHeight="false" outlineLevel="0" collapsed="false">
      <c r="B34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3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3"/>
    <col collapsed="false" customWidth="true" hidden="false" outlineLevel="0" max="11" min="11" style="0" width="8"/>
    <col collapsed="false" customWidth="true" hidden="false" outlineLevel="0" max="15" min="12" style="0" width="11"/>
  </cols>
  <sheetData>
    <row r="1" customFormat="false" ht="30" hidden="false" customHeight="tru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/>
      <c r="G4" s="6" t="s">
        <v>45</v>
      </c>
      <c r="H4" s="6" t="s">
        <v>46</v>
      </c>
      <c r="I4" s="6" t="s">
        <v>47</v>
      </c>
      <c r="K4" s="6" t="s">
        <v>40</v>
      </c>
      <c r="L4" s="6" t="s">
        <v>48</v>
      </c>
      <c r="M4" s="6" t="s">
        <v>49</v>
      </c>
      <c r="N4" s="6" t="s">
        <v>50</v>
      </c>
      <c r="O4" s="6" t="s">
        <v>51</v>
      </c>
    </row>
    <row r="5" customFormat="false" ht="15" hidden="false" customHeight="false" outlineLevel="0" collapsed="false">
      <c r="A5" s="14" t="s">
        <v>52</v>
      </c>
      <c r="B5" s="14" t="n">
        <v>10</v>
      </c>
      <c r="C5" s="15" t="n">
        <v>8455</v>
      </c>
      <c r="G5" s="15" t="n">
        <v>9030</v>
      </c>
      <c r="K5" s="14" t="s">
        <v>53</v>
      </c>
      <c r="L5" s="16"/>
      <c r="M5" s="16"/>
      <c r="N5" s="16"/>
      <c r="O5" s="16"/>
    </row>
    <row r="6" customFormat="false" ht="15" hidden="false" customHeight="false" outlineLevel="0" collapsed="false">
      <c r="A6" s="14" t="s">
        <v>54</v>
      </c>
      <c r="B6" s="14" t="n">
        <v>11</v>
      </c>
      <c r="C6" s="15" t="n">
        <v>8881</v>
      </c>
      <c r="G6" s="15" t="n">
        <v>10818</v>
      </c>
      <c r="K6" s="14" t="s">
        <v>55</v>
      </c>
      <c r="L6" s="16"/>
      <c r="M6" s="16"/>
      <c r="N6" s="16"/>
      <c r="O6" s="16"/>
    </row>
    <row r="7" customFormat="false" ht="15" hidden="false" customHeight="false" outlineLevel="0" collapsed="false">
      <c r="A7" s="14" t="s">
        <v>56</v>
      </c>
      <c r="B7" s="14" t="n">
        <v>12</v>
      </c>
      <c r="C7" s="15" t="n">
        <v>9215</v>
      </c>
      <c r="G7" s="15" t="n">
        <v>9463</v>
      </c>
      <c r="K7" s="14" t="s">
        <v>57</v>
      </c>
      <c r="L7" s="16"/>
      <c r="M7" s="16"/>
      <c r="N7" s="16"/>
      <c r="O7" s="16"/>
    </row>
    <row r="8" customFormat="false" ht="15" hidden="false" customHeight="false" outlineLevel="0" collapsed="false">
      <c r="A8" s="14" t="s">
        <v>58</v>
      </c>
      <c r="B8" s="14" t="n">
        <v>1</v>
      </c>
      <c r="C8" s="15" t="n">
        <v>12879</v>
      </c>
      <c r="G8" s="15" t="n">
        <v>7528</v>
      </c>
      <c r="K8" s="14" t="s">
        <v>59</v>
      </c>
      <c r="L8" s="16"/>
      <c r="M8" s="16"/>
      <c r="N8" s="16"/>
      <c r="O8" s="16"/>
    </row>
    <row r="9" customFormat="false" ht="15" hidden="false" customHeight="false" outlineLevel="0" collapsed="false">
      <c r="A9" s="14" t="s">
        <v>60</v>
      </c>
      <c r="B9" s="14" t="n">
        <v>2</v>
      </c>
      <c r="C9" s="15" t="n">
        <v>8537</v>
      </c>
      <c r="G9" s="15" t="n">
        <v>10148</v>
      </c>
      <c r="K9" s="14" t="s">
        <v>61</v>
      </c>
      <c r="L9" s="16"/>
      <c r="M9" s="16"/>
      <c r="N9" s="16"/>
      <c r="O9" s="16"/>
    </row>
    <row r="10" customFormat="false" ht="15" hidden="false" customHeight="false" outlineLevel="0" collapsed="false">
      <c r="A10" s="14" t="s">
        <v>62</v>
      </c>
      <c r="B10" s="14" t="n">
        <v>3</v>
      </c>
      <c r="C10" s="15" t="n">
        <v>10625</v>
      </c>
      <c r="G10" s="15" t="n">
        <v>11681</v>
      </c>
      <c r="K10" s="14" t="s">
        <v>63</v>
      </c>
      <c r="L10" s="16"/>
      <c r="M10" s="16"/>
      <c r="N10" s="16"/>
      <c r="O10" s="16"/>
    </row>
    <row r="11" customFormat="false" ht="15" hidden="false" customHeight="false" outlineLevel="0" collapsed="false">
      <c r="A11" s="14" t="s">
        <v>64</v>
      </c>
      <c r="B11" s="14" t="n">
        <v>4</v>
      </c>
      <c r="C11" s="15" t="n">
        <v>8777</v>
      </c>
      <c r="D11" s="17"/>
      <c r="E11" s="16"/>
      <c r="G11" s="15" t="n">
        <v>15566</v>
      </c>
      <c r="H11" s="17"/>
      <c r="I11" s="16"/>
      <c r="K11" s="14" t="s">
        <v>65</v>
      </c>
      <c r="L11" s="16"/>
      <c r="M11" s="16"/>
      <c r="N11" s="16"/>
      <c r="O11" s="16"/>
    </row>
    <row r="12" customFormat="false" ht="15" hidden="false" customHeight="false" outlineLevel="0" collapsed="false">
      <c r="A12" s="14" t="s">
        <v>66</v>
      </c>
      <c r="B12" s="14" t="n">
        <v>5</v>
      </c>
      <c r="C12" s="15" t="n">
        <v>9354</v>
      </c>
      <c r="D12" s="17"/>
      <c r="E12" s="16"/>
      <c r="G12" s="15" t="n">
        <v>16912</v>
      </c>
      <c r="H12" s="17"/>
      <c r="I12" s="16"/>
      <c r="K12" s="14" t="s">
        <v>67</v>
      </c>
      <c r="L12" s="16"/>
      <c r="M12" s="16"/>
      <c r="N12" s="16"/>
      <c r="O12" s="16"/>
    </row>
    <row r="13" customFormat="false" ht="15" hidden="false" customHeight="false" outlineLevel="0" collapsed="false">
      <c r="A13" s="14" t="s">
        <v>68</v>
      </c>
      <c r="B13" s="14" t="n">
        <v>6</v>
      </c>
      <c r="C13" s="15" t="n">
        <v>9169</v>
      </c>
      <c r="D13" s="17"/>
      <c r="E13" s="16"/>
      <c r="G13" s="15" t="n">
        <v>17536</v>
      </c>
      <c r="H13" s="17"/>
      <c r="I13" s="16"/>
      <c r="K13" s="14" t="s">
        <v>69</v>
      </c>
      <c r="L13" s="16"/>
      <c r="M13" s="16"/>
      <c r="N13" s="16"/>
      <c r="O13" s="16"/>
    </row>
    <row r="14" customFormat="false" ht="15" hidden="false" customHeight="false" outlineLevel="0" collapsed="false">
      <c r="A14" s="14" t="s">
        <v>70</v>
      </c>
      <c r="B14" s="14" t="n">
        <v>7</v>
      </c>
      <c r="C14" s="15" t="n">
        <v>8985</v>
      </c>
      <c r="D14" s="17"/>
      <c r="E14" s="16"/>
      <c r="G14" s="15" t="n">
        <v>16688</v>
      </c>
      <c r="H14" s="17"/>
      <c r="I14" s="16"/>
      <c r="K14" s="14" t="s">
        <v>71</v>
      </c>
      <c r="L14" s="16"/>
      <c r="M14" s="16"/>
      <c r="N14" s="16"/>
      <c r="O14" s="16"/>
    </row>
    <row r="15" customFormat="false" ht="15" hidden="false" customHeight="false" outlineLevel="0" collapsed="false">
      <c r="A15" s="14" t="s">
        <v>72</v>
      </c>
      <c r="B15" s="14" t="n">
        <v>8</v>
      </c>
      <c r="C15" s="15" t="n">
        <v>8800</v>
      </c>
      <c r="D15" s="17"/>
      <c r="E15" s="16"/>
      <c r="G15" s="15" t="n">
        <v>15900</v>
      </c>
      <c r="H15" s="17"/>
      <c r="I15" s="16"/>
      <c r="K15" s="14" t="s">
        <v>73</v>
      </c>
      <c r="L15" s="16"/>
      <c r="M15" s="16"/>
      <c r="N15" s="16"/>
      <c r="O15" s="16"/>
    </row>
    <row r="16" customFormat="false" ht="15" hidden="false" customHeight="false" outlineLevel="0" collapsed="false">
      <c r="A16" s="14" t="s">
        <v>74</v>
      </c>
      <c r="B16" s="14" t="n">
        <v>9</v>
      </c>
      <c r="C16" s="15" t="n">
        <v>8120</v>
      </c>
      <c r="D16" s="17"/>
      <c r="E16" s="16"/>
      <c r="G16" s="15" t="n">
        <v>15632</v>
      </c>
      <c r="H16" s="17"/>
      <c r="I16" s="16"/>
      <c r="K16" s="14" t="s">
        <v>75</v>
      </c>
      <c r="L16" s="16"/>
      <c r="M16" s="16"/>
      <c r="N16" s="16"/>
      <c r="O16" s="16"/>
    </row>
    <row r="17" customFormat="false" ht="15" hidden="false" customHeight="false" outlineLevel="0" collapsed="false">
      <c r="A17" s="14" t="s">
        <v>76</v>
      </c>
      <c r="B17" s="14" t="n">
        <v>10</v>
      </c>
      <c r="C17" s="15" t="n">
        <v>8983</v>
      </c>
      <c r="D17" s="17"/>
      <c r="E17" s="16"/>
      <c r="G17" s="15" t="n">
        <v>13037</v>
      </c>
      <c r="H17" s="17"/>
      <c r="I17" s="16"/>
    </row>
    <row r="18" customFormat="false" ht="15" hidden="false" customHeight="false" outlineLevel="0" collapsed="false">
      <c r="A18" s="14" t="s">
        <v>77</v>
      </c>
      <c r="B18" s="14" t="n">
        <v>11</v>
      </c>
      <c r="C18" s="15" t="n">
        <v>9353</v>
      </c>
      <c r="D18" s="17"/>
      <c r="E18" s="16"/>
      <c r="G18" s="15" t="n">
        <v>9100</v>
      </c>
      <c r="H18" s="17"/>
      <c r="I18" s="16"/>
      <c r="K18" s="7" t="s">
        <v>78</v>
      </c>
      <c r="M18" s="16"/>
      <c r="O18" s="16"/>
    </row>
    <row r="19" customFormat="false" ht="15" hidden="false" customHeight="false" outlineLevel="0" collapsed="false">
      <c r="A19" s="14" t="s">
        <v>79</v>
      </c>
      <c r="B19" s="14" t="n">
        <v>12</v>
      </c>
      <c r="C19" s="15" t="n">
        <v>10687</v>
      </c>
      <c r="D19" s="17"/>
      <c r="E19" s="16"/>
      <c r="G19" s="15" t="n">
        <v>10301</v>
      </c>
      <c r="H19" s="17"/>
      <c r="I19" s="16"/>
      <c r="K19" s="7" t="s">
        <v>80</v>
      </c>
      <c r="M19" s="18"/>
      <c r="O19" s="18"/>
    </row>
    <row r="20" customFormat="false" ht="15" hidden="false" customHeight="false" outlineLevel="0" collapsed="false">
      <c r="A20" s="14" t="s">
        <v>81</v>
      </c>
      <c r="B20" s="14" t="n">
        <v>1</v>
      </c>
      <c r="C20" s="15" t="n">
        <v>15581</v>
      </c>
      <c r="D20" s="17"/>
      <c r="E20" s="16"/>
      <c r="G20" s="15" t="n">
        <v>11166</v>
      </c>
      <c r="H20" s="17"/>
      <c r="I20" s="16"/>
    </row>
    <row r="21" customFormat="false" ht="15" hidden="false" customHeight="false" outlineLevel="0" collapsed="false">
      <c r="A21" s="14" t="s">
        <v>82</v>
      </c>
      <c r="B21" s="14" t="n">
        <v>2</v>
      </c>
      <c r="C21" s="15" t="n">
        <v>7167</v>
      </c>
      <c r="D21" s="17"/>
      <c r="E21" s="16"/>
      <c r="G21" s="15" t="n">
        <v>11732</v>
      </c>
      <c r="H21" s="17"/>
      <c r="I21" s="16"/>
    </row>
    <row r="22" customFormat="false" ht="15" hidden="false" customHeight="false" outlineLevel="0" collapsed="false">
      <c r="A22" s="14" t="s">
        <v>83</v>
      </c>
      <c r="B22" s="14" t="n">
        <v>3</v>
      </c>
      <c r="C22" s="15" t="n">
        <v>9425</v>
      </c>
      <c r="D22" s="17"/>
      <c r="E22" s="16"/>
      <c r="G22" s="15" t="n">
        <v>12308</v>
      </c>
      <c r="H22" s="17"/>
      <c r="I22" s="16"/>
    </row>
    <row r="23" customFormat="false" ht="15" hidden="false" customHeight="false" outlineLevel="0" collapsed="false">
      <c r="A23" s="14" t="s">
        <v>84</v>
      </c>
      <c r="B23" s="14" t="n">
        <v>4</v>
      </c>
      <c r="C23" s="15" t="n">
        <v>9428</v>
      </c>
      <c r="D23" s="17"/>
      <c r="E23" s="16"/>
      <c r="G23" s="15" t="n">
        <v>16557</v>
      </c>
      <c r="H23" s="17"/>
      <c r="I23" s="16"/>
    </row>
    <row r="24" customFormat="false" ht="15" hidden="false" customHeight="false" outlineLevel="0" collapsed="false">
      <c r="A24" s="14" t="s">
        <v>85</v>
      </c>
      <c r="B24" s="14" t="n">
        <v>5</v>
      </c>
      <c r="C24" s="15" t="n">
        <v>8426</v>
      </c>
      <c r="D24" s="17"/>
      <c r="E24" s="16"/>
      <c r="G24" s="15" t="n">
        <v>19041</v>
      </c>
      <c r="H24" s="17"/>
      <c r="I24" s="16"/>
    </row>
    <row r="25" customFormat="false" ht="15" hidden="false" customHeight="false" outlineLevel="0" collapsed="false">
      <c r="A25" s="14" t="s">
        <v>86</v>
      </c>
      <c r="B25" s="14" t="n">
        <v>6</v>
      </c>
      <c r="C25" s="15" t="n">
        <v>9820</v>
      </c>
      <c r="D25" s="17"/>
      <c r="E25" s="16"/>
      <c r="G25" s="15" t="n">
        <v>22664</v>
      </c>
      <c r="H25" s="17"/>
      <c r="I25" s="16"/>
    </row>
    <row r="26" customFormat="false" ht="15" hidden="false" customHeight="false" outlineLevel="0" collapsed="false">
      <c r="A26" s="14" t="s">
        <v>87</v>
      </c>
      <c r="B26" s="14" t="n">
        <v>7</v>
      </c>
      <c r="C26" s="15" t="n">
        <v>8838</v>
      </c>
      <c r="D26" s="17"/>
      <c r="E26" s="16"/>
      <c r="G26" s="15" t="n">
        <v>17202</v>
      </c>
      <c r="H26" s="17"/>
      <c r="I26" s="16"/>
    </row>
    <row r="27" customFormat="false" ht="15" hidden="false" customHeight="false" outlineLevel="0" collapsed="false">
      <c r="A27" s="14" t="s">
        <v>88</v>
      </c>
      <c r="B27" s="14" t="n">
        <v>8</v>
      </c>
      <c r="C27" s="15" t="n">
        <v>8873</v>
      </c>
      <c r="D27" s="17"/>
      <c r="E27" s="16"/>
      <c r="G27" s="15" t="n">
        <v>14835</v>
      </c>
      <c r="H27" s="17"/>
      <c r="I27" s="16"/>
    </row>
    <row r="28" customFormat="false" ht="15" hidden="false" customHeight="false" outlineLevel="0" collapsed="false">
      <c r="A28" s="14" t="s">
        <v>89</v>
      </c>
      <c r="B28" s="14" t="n">
        <v>9</v>
      </c>
      <c r="C28" s="15" t="n">
        <v>10556</v>
      </c>
      <c r="D28" s="17"/>
      <c r="E28" s="16"/>
      <c r="G28" s="15" t="n">
        <v>12569</v>
      </c>
      <c r="H28" s="17"/>
      <c r="I28" s="16"/>
    </row>
    <row r="29" customFormat="false" ht="15" hidden="false" customHeight="false" outlineLevel="0" collapsed="false">
      <c r="A29" s="14" t="s">
        <v>90</v>
      </c>
      <c r="B29" s="14" t="n">
        <v>10</v>
      </c>
      <c r="C29" s="15" t="n">
        <v>10977</v>
      </c>
      <c r="D29" s="17"/>
      <c r="E29" s="16"/>
      <c r="G29" s="15" t="n">
        <v>10881</v>
      </c>
      <c r="H29" s="17"/>
      <c r="I29" s="16"/>
    </row>
    <row r="30" customFormat="false" ht="15" hidden="false" customHeight="false" outlineLevel="0" collapsed="false">
      <c r="A30" s="14" t="s">
        <v>91</v>
      </c>
      <c r="B30" s="14" t="n">
        <v>11</v>
      </c>
      <c r="C30" s="15" t="n">
        <v>9901</v>
      </c>
      <c r="D30" s="17"/>
      <c r="E30" s="16"/>
      <c r="G30" s="15" t="n">
        <v>9440</v>
      </c>
      <c r="H30" s="17"/>
      <c r="I30" s="16"/>
    </row>
    <row r="31" customFormat="false" ht="15" hidden="false" customHeight="false" outlineLevel="0" collapsed="false">
      <c r="A31" s="14" t="s">
        <v>92</v>
      </c>
      <c r="B31" s="14" t="n">
        <v>12</v>
      </c>
      <c r="C31" s="15" t="n">
        <v>9275</v>
      </c>
      <c r="D31" s="17"/>
      <c r="E31" s="16"/>
      <c r="G31" s="15" t="n">
        <v>7311</v>
      </c>
      <c r="H31" s="17"/>
      <c r="I31" s="16"/>
    </row>
    <row r="32" customFormat="false" ht="15" hidden="false" customHeight="false" outlineLevel="0" collapsed="false">
      <c r="A32" s="14" t="s">
        <v>93</v>
      </c>
      <c r="B32" s="14" t="n">
        <v>1</v>
      </c>
      <c r="C32" s="15" t="n">
        <v>13773</v>
      </c>
      <c r="D32" s="17"/>
      <c r="E32" s="16"/>
      <c r="G32" s="15" t="n">
        <v>8860</v>
      </c>
      <c r="H32" s="17"/>
      <c r="I32" s="16"/>
    </row>
    <row r="33" customFormat="false" ht="15" hidden="false" customHeight="false" outlineLevel="0" collapsed="false">
      <c r="A33" s="14" t="s">
        <v>94</v>
      </c>
      <c r="B33" s="14" t="n">
        <v>2</v>
      </c>
      <c r="C33" s="15" t="n">
        <v>11098</v>
      </c>
      <c r="D33" s="17"/>
      <c r="E33" s="16"/>
      <c r="G33" s="15" t="n">
        <v>10764</v>
      </c>
      <c r="H33" s="17"/>
      <c r="I33" s="16"/>
    </row>
    <row r="34" customFormat="false" ht="15" hidden="false" customHeight="false" outlineLevel="0" collapsed="false">
      <c r="A34" s="14" t="s">
        <v>95</v>
      </c>
      <c r="B34" s="14" t="n">
        <v>3</v>
      </c>
      <c r="C34" s="15" t="n">
        <v>9078</v>
      </c>
      <c r="D34" s="17"/>
      <c r="E34" s="16"/>
      <c r="G34" s="15" t="n">
        <v>12134</v>
      </c>
      <c r="H34" s="17"/>
      <c r="I34" s="16"/>
    </row>
    <row r="35" customFormat="false" ht="15" hidden="false" customHeight="false" outlineLevel="0" collapsed="false">
      <c r="A35" s="14" t="s">
        <v>96</v>
      </c>
      <c r="B35" s="14" t="n">
        <v>4</v>
      </c>
      <c r="C35" s="15" t="n">
        <v>9555</v>
      </c>
      <c r="G35" s="15" t="n">
        <v>18378</v>
      </c>
    </row>
    <row r="36" customFormat="false" ht="15" hidden="false" customHeight="false" outlineLevel="0" collapsed="false">
      <c r="A36" s="14" t="s">
        <v>97</v>
      </c>
      <c r="B36" s="14" t="n">
        <v>5</v>
      </c>
      <c r="C36" s="15" t="n">
        <v>9669</v>
      </c>
      <c r="G36" s="15" t="n">
        <v>18886</v>
      </c>
    </row>
    <row r="37" customFormat="false" ht="15" hidden="false" customHeight="false" outlineLevel="0" collapsed="false">
      <c r="A37" s="14" t="s">
        <v>98</v>
      </c>
      <c r="B37" s="14" t="n">
        <v>6</v>
      </c>
      <c r="C37" s="15" t="n">
        <v>9764</v>
      </c>
      <c r="G37" s="15" t="n">
        <v>21194</v>
      </c>
      <c r="K37" s="2" t="s">
        <v>99</v>
      </c>
    </row>
    <row r="38" customFormat="false" ht="15" hidden="false" customHeight="false" outlineLevel="0" collapsed="false">
      <c r="A38" s="14" t="s">
        <v>100</v>
      </c>
      <c r="B38" s="14" t="n">
        <v>7</v>
      </c>
      <c r="C38" s="15" t="n">
        <v>8834</v>
      </c>
      <c r="G38" s="15" t="n">
        <v>19072</v>
      </c>
    </row>
    <row r="39" customFormat="false" ht="15" hidden="false" customHeight="false" outlineLevel="0" collapsed="false">
      <c r="A39" s="14" t="s">
        <v>101</v>
      </c>
      <c r="B39" s="14" t="n">
        <v>8</v>
      </c>
      <c r="C39" s="15" t="n">
        <v>9157</v>
      </c>
      <c r="G39" s="15" t="n">
        <v>18180</v>
      </c>
    </row>
    <row r="40" customFormat="false" ht="15" hidden="false" customHeight="false" outlineLevel="0" collapsed="false">
      <c r="A40" s="14" t="s">
        <v>102</v>
      </c>
      <c r="B40" s="14" t="n">
        <v>9</v>
      </c>
      <c r="C40" s="15" t="n">
        <v>11134</v>
      </c>
      <c r="G40" s="15" t="n">
        <v>14872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30" hidden="false" customHeight="true" outlineLevel="0" collapsed="false">
      <c r="A4" s="6" t="s">
        <v>40</v>
      </c>
      <c r="B4" s="6" t="s">
        <v>105</v>
      </c>
      <c r="C4" s="6" t="s">
        <v>41</v>
      </c>
      <c r="D4" s="6" t="s">
        <v>106</v>
      </c>
      <c r="E4" s="6" t="s">
        <v>107</v>
      </c>
      <c r="F4" s="6" t="s">
        <v>108</v>
      </c>
      <c r="H4" s="19" t="s">
        <v>109</v>
      </c>
      <c r="I4" s="19"/>
    </row>
    <row r="5" customFormat="false" ht="15" hidden="false" customHeight="false" outlineLevel="0" collapsed="false">
      <c r="A5" s="14" t="s">
        <v>52</v>
      </c>
      <c r="B5" s="14" t="n">
        <v>1</v>
      </c>
      <c r="C5" s="14" t="n">
        <v>10</v>
      </c>
      <c r="D5" s="20" t="n">
        <f aca="false">Bai1_ChiSo!G5</f>
        <v>9030</v>
      </c>
      <c r="E5" s="16"/>
      <c r="F5" s="17"/>
      <c r="H5" s="14" t="s">
        <v>110</v>
      </c>
      <c r="I5" s="21"/>
    </row>
    <row r="6" customFormat="false" ht="15" hidden="false" customHeight="false" outlineLevel="0" collapsed="false">
      <c r="A6" s="14" t="s">
        <v>54</v>
      </c>
      <c r="B6" s="14" t="n">
        <v>2</v>
      </c>
      <c r="C6" s="14" t="n">
        <v>11</v>
      </c>
      <c r="D6" s="20" t="n">
        <f aca="false">Bai1_ChiSo!G6</f>
        <v>10818</v>
      </c>
      <c r="E6" s="16"/>
      <c r="F6" s="17"/>
      <c r="H6" s="14" t="s">
        <v>111</v>
      </c>
      <c r="I6" s="17"/>
    </row>
    <row r="7" customFormat="false" ht="15" hidden="false" customHeight="false" outlineLevel="0" collapsed="false">
      <c r="A7" s="14" t="s">
        <v>56</v>
      </c>
      <c r="B7" s="14" t="n">
        <v>3</v>
      </c>
      <c r="C7" s="14" t="n">
        <v>12</v>
      </c>
      <c r="D7" s="20" t="n">
        <f aca="false">Bai1_ChiSo!G7</f>
        <v>9463</v>
      </c>
      <c r="E7" s="16"/>
      <c r="F7" s="17"/>
      <c r="H7" s="14" t="s">
        <v>112</v>
      </c>
      <c r="I7" s="22"/>
    </row>
    <row r="8" customFormat="false" ht="15" hidden="false" customHeight="false" outlineLevel="0" collapsed="false">
      <c r="A8" s="14" t="s">
        <v>58</v>
      </c>
      <c r="B8" s="14" t="n">
        <v>4</v>
      </c>
      <c r="C8" s="14" t="n">
        <v>1</v>
      </c>
      <c r="D8" s="20" t="n">
        <f aca="false">Bai1_ChiSo!G8</f>
        <v>7528</v>
      </c>
      <c r="E8" s="16"/>
      <c r="F8" s="17"/>
    </row>
    <row r="9" customFormat="false" ht="15" hidden="false" customHeight="false" outlineLevel="0" collapsed="false">
      <c r="A9" s="14" t="s">
        <v>60</v>
      </c>
      <c r="B9" s="14" t="n">
        <v>5</v>
      </c>
      <c r="C9" s="14" t="n">
        <v>2</v>
      </c>
      <c r="D9" s="20" t="n">
        <f aca="false">Bai1_ChiSo!G9</f>
        <v>10148</v>
      </c>
      <c r="E9" s="16"/>
      <c r="F9" s="17"/>
    </row>
    <row r="10" customFormat="false" ht="15" hidden="false" customHeight="false" outlineLevel="0" collapsed="false">
      <c r="A10" s="14" t="s">
        <v>62</v>
      </c>
      <c r="B10" s="14" t="n">
        <v>6</v>
      </c>
      <c r="C10" s="14" t="n">
        <v>3</v>
      </c>
      <c r="D10" s="20" t="n">
        <f aca="false">Bai1_ChiSo!G10</f>
        <v>11681</v>
      </c>
      <c r="E10" s="16"/>
      <c r="F10" s="17"/>
    </row>
    <row r="11" customFormat="false" ht="15" hidden="false" customHeight="false" outlineLevel="0" collapsed="false">
      <c r="A11" s="14" t="s">
        <v>64</v>
      </c>
      <c r="B11" s="14" t="n">
        <v>7</v>
      </c>
      <c r="C11" s="14" t="n">
        <v>4</v>
      </c>
      <c r="D11" s="20" t="n">
        <f aca="false">Bai1_ChiSo!G11</f>
        <v>15566</v>
      </c>
      <c r="E11" s="16"/>
      <c r="F11" s="17"/>
    </row>
    <row r="12" customFormat="false" ht="15" hidden="false" customHeight="false" outlineLevel="0" collapsed="false">
      <c r="A12" s="14" t="s">
        <v>66</v>
      </c>
      <c r="B12" s="14" t="n">
        <v>8</v>
      </c>
      <c r="C12" s="14" t="n">
        <v>5</v>
      </c>
      <c r="D12" s="20" t="n">
        <f aca="false">Bai1_ChiSo!G12</f>
        <v>16912</v>
      </c>
      <c r="E12" s="16"/>
      <c r="F12" s="17"/>
    </row>
    <row r="13" customFormat="false" ht="15" hidden="false" customHeight="false" outlineLevel="0" collapsed="false">
      <c r="A13" s="14" t="s">
        <v>68</v>
      </c>
      <c r="B13" s="14" t="n">
        <v>9</v>
      </c>
      <c r="C13" s="14" t="n">
        <v>6</v>
      </c>
      <c r="D13" s="20" t="n">
        <f aca="false">Bai1_ChiSo!G13</f>
        <v>17536</v>
      </c>
      <c r="E13" s="16"/>
      <c r="F13" s="17"/>
    </row>
    <row r="14" customFormat="false" ht="15" hidden="false" customHeight="false" outlineLevel="0" collapsed="false">
      <c r="A14" s="14" t="s">
        <v>70</v>
      </c>
      <c r="B14" s="14" t="n">
        <v>10</v>
      </c>
      <c r="C14" s="14" t="n">
        <v>7</v>
      </c>
      <c r="D14" s="20" t="n">
        <f aca="false">Bai1_ChiSo!G14</f>
        <v>16688</v>
      </c>
      <c r="E14" s="16"/>
      <c r="F14" s="17"/>
    </row>
    <row r="15" customFormat="false" ht="15" hidden="false" customHeight="false" outlineLevel="0" collapsed="false">
      <c r="A15" s="14" t="s">
        <v>72</v>
      </c>
      <c r="B15" s="14" t="n">
        <v>11</v>
      </c>
      <c r="C15" s="14" t="n">
        <v>8</v>
      </c>
      <c r="D15" s="20" t="n">
        <f aca="false">Bai1_ChiSo!G15</f>
        <v>15900</v>
      </c>
      <c r="E15" s="16"/>
      <c r="F15" s="17"/>
    </row>
    <row r="16" customFormat="false" ht="15" hidden="false" customHeight="false" outlineLevel="0" collapsed="false">
      <c r="A16" s="14" t="s">
        <v>74</v>
      </c>
      <c r="B16" s="14" t="n">
        <v>12</v>
      </c>
      <c r="C16" s="14" t="n">
        <v>9</v>
      </c>
      <c r="D16" s="20" t="n">
        <f aca="false">Bai1_ChiSo!G16</f>
        <v>15632</v>
      </c>
      <c r="E16" s="16"/>
      <c r="F16" s="17"/>
    </row>
    <row r="17" customFormat="false" ht="15" hidden="false" customHeight="false" outlineLevel="0" collapsed="false">
      <c r="A17" s="14" t="s">
        <v>76</v>
      </c>
      <c r="B17" s="14" t="n">
        <v>13</v>
      </c>
      <c r="C17" s="14" t="n">
        <v>10</v>
      </c>
      <c r="D17" s="20" t="n">
        <f aca="false">Bai1_ChiSo!G17</f>
        <v>13037</v>
      </c>
      <c r="E17" s="16"/>
      <c r="F17" s="17"/>
    </row>
    <row r="18" customFormat="false" ht="15" hidden="false" customHeight="false" outlineLevel="0" collapsed="false">
      <c r="A18" s="14" t="s">
        <v>77</v>
      </c>
      <c r="B18" s="14" t="n">
        <v>14</v>
      </c>
      <c r="C18" s="14" t="n">
        <v>11</v>
      </c>
      <c r="D18" s="20" t="n">
        <f aca="false">Bai1_ChiSo!G18</f>
        <v>9100</v>
      </c>
      <c r="E18" s="16"/>
      <c r="F18" s="17"/>
    </row>
    <row r="19" customFormat="false" ht="15" hidden="false" customHeight="false" outlineLevel="0" collapsed="false">
      <c r="A19" s="14" t="s">
        <v>79</v>
      </c>
      <c r="B19" s="14" t="n">
        <v>15</v>
      </c>
      <c r="C19" s="14" t="n">
        <v>12</v>
      </c>
      <c r="D19" s="20" t="n">
        <f aca="false">Bai1_ChiSo!G19</f>
        <v>10301</v>
      </c>
      <c r="E19" s="16"/>
      <c r="F19" s="17"/>
    </row>
    <row r="20" customFormat="false" ht="15" hidden="false" customHeight="false" outlineLevel="0" collapsed="false">
      <c r="A20" s="14" t="s">
        <v>81</v>
      </c>
      <c r="B20" s="14" t="n">
        <v>16</v>
      </c>
      <c r="C20" s="14" t="n">
        <v>1</v>
      </c>
      <c r="D20" s="20" t="n">
        <f aca="false">Bai1_ChiSo!G20</f>
        <v>11166</v>
      </c>
      <c r="E20" s="16"/>
      <c r="F20" s="17"/>
    </row>
    <row r="21" customFormat="false" ht="15" hidden="false" customHeight="false" outlineLevel="0" collapsed="false">
      <c r="A21" s="14" t="s">
        <v>82</v>
      </c>
      <c r="B21" s="14" t="n">
        <v>17</v>
      </c>
      <c r="C21" s="14" t="n">
        <v>2</v>
      </c>
      <c r="D21" s="20" t="n">
        <f aca="false">Bai1_ChiSo!G21</f>
        <v>11732</v>
      </c>
      <c r="E21" s="16"/>
      <c r="F21" s="17"/>
    </row>
    <row r="22" customFormat="false" ht="15" hidden="false" customHeight="false" outlineLevel="0" collapsed="false">
      <c r="A22" s="14" t="s">
        <v>83</v>
      </c>
      <c r="B22" s="14" t="n">
        <v>18</v>
      </c>
      <c r="C22" s="14" t="n">
        <v>3</v>
      </c>
      <c r="D22" s="20" t="n">
        <f aca="false">Bai1_ChiSo!G22</f>
        <v>12308</v>
      </c>
      <c r="E22" s="16"/>
      <c r="F22" s="17"/>
    </row>
    <row r="23" customFormat="false" ht="15" hidden="false" customHeight="false" outlineLevel="0" collapsed="false">
      <c r="A23" s="14" t="s">
        <v>84</v>
      </c>
      <c r="B23" s="14" t="n">
        <v>19</v>
      </c>
      <c r="C23" s="14" t="n">
        <v>4</v>
      </c>
      <c r="D23" s="20" t="n">
        <f aca="false">Bai1_ChiSo!G23</f>
        <v>16557</v>
      </c>
      <c r="E23" s="16"/>
      <c r="F23" s="17"/>
    </row>
    <row r="24" customFormat="false" ht="15" hidden="false" customHeight="false" outlineLevel="0" collapsed="false">
      <c r="A24" s="14" t="s">
        <v>85</v>
      </c>
      <c r="B24" s="14" t="n">
        <v>20</v>
      </c>
      <c r="C24" s="14" t="n">
        <v>5</v>
      </c>
      <c r="D24" s="20" t="n">
        <f aca="false">Bai1_ChiSo!G24</f>
        <v>19041</v>
      </c>
      <c r="E24" s="16"/>
      <c r="F24" s="17"/>
    </row>
    <row r="25" customFormat="false" ht="15" hidden="false" customHeight="false" outlineLevel="0" collapsed="false">
      <c r="A25" s="14" t="s">
        <v>86</v>
      </c>
      <c r="B25" s="14" t="n">
        <v>21</v>
      </c>
      <c r="C25" s="14" t="n">
        <v>6</v>
      </c>
      <c r="D25" s="20" t="n">
        <f aca="false">Bai1_ChiSo!G25</f>
        <v>22664</v>
      </c>
      <c r="E25" s="16"/>
      <c r="F25" s="17"/>
    </row>
    <row r="26" customFormat="false" ht="15" hidden="false" customHeight="false" outlineLevel="0" collapsed="false">
      <c r="A26" s="14" t="s">
        <v>87</v>
      </c>
      <c r="B26" s="14" t="n">
        <v>22</v>
      </c>
      <c r="C26" s="14" t="n">
        <v>7</v>
      </c>
      <c r="D26" s="20" t="n">
        <f aca="false">Bai1_ChiSo!G26</f>
        <v>17202</v>
      </c>
      <c r="E26" s="16"/>
      <c r="F26" s="17"/>
    </row>
    <row r="27" customFormat="false" ht="15" hidden="false" customHeight="false" outlineLevel="0" collapsed="false">
      <c r="A27" s="14" t="s">
        <v>88</v>
      </c>
      <c r="B27" s="14" t="n">
        <v>23</v>
      </c>
      <c r="C27" s="14" t="n">
        <v>8</v>
      </c>
      <c r="D27" s="20" t="n">
        <f aca="false">Bai1_ChiSo!G27</f>
        <v>14835</v>
      </c>
      <c r="E27" s="16"/>
      <c r="F27" s="17"/>
    </row>
    <row r="28" customFormat="false" ht="15" hidden="false" customHeight="false" outlineLevel="0" collapsed="false">
      <c r="A28" s="14" t="s">
        <v>89</v>
      </c>
      <c r="B28" s="14" t="n">
        <v>24</v>
      </c>
      <c r="C28" s="14" t="n">
        <v>9</v>
      </c>
      <c r="D28" s="20" t="n">
        <f aca="false">Bai1_ChiSo!G28</f>
        <v>12569</v>
      </c>
      <c r="E28" s="16"/>
      <c r="F28" s="17"/>
    </row>
    <row r="29" customFormat="false" ht="15" hidden="false" customHeight="false" outlineLevel="0" collapsed="false">
      <c r="A29" s="14" t="s">
        <v>90</v>
      </c>
      <c r="B29" s="14" t="n">
        <v>25</v>
      </c>
      <c r="C29" s="14" t="n">
        <v>10</v>
      </c>
      <c r="D29" s="20" t="n">
        <f aca="false">Bai1_ChiSo!G29</f>
        <v>10881</v>
      </c>
      <c r="E29" s="16"/>
      <c r="F29" s="17"/>
    </row>
    <row r="30" customFormat="false" ht="15" hidden="false" customHeight="false" outlineLevel="0" collapsed="false">
      <c r="A30" s="14" t="s">
        <v>91</v>
      </c>
      <c r="B30" s="14" t="n">
        <v>26</v>
      </c>
      <c r="C30" s="14" t="n">
        <v>11</v>
      </c>
      <c r="D30" s="20" t="n">
        <f aca="false">Bai1_ChiSo!G30</f>
        <v>9440</v>
      </c>
      <c r="E30" s="16"/>
      <c r="F30" s="17"/>
    </row>
    <row r="31" customFormat="false" ht="15" hidden="false" customHeight="false" outlineLevel="0" collapsed="false">
      <c r="A31" s="14" t="s">
        <v>92</v>
      </c>
      <c r="B31" s="14" t="n">
        <v>27</v>
      </c>
      <c r="C31" s="14" t="n">
        <v>12</v>
      </c>
      <c r="D31" s="20" t="n">
        <f aca="false">Bai1_ChiSo!G31</f>
        <v>7311</v>
      </c>
      <c r="E31" s="16"/>
      <c r="F31" s="17"/>
    </row>
    <row r="32" customFormat="false" ht="15" hidden="false" customHeight="false" outlineLevel="0" collapsed="false">
      <c r="A32" s="14" t="s">
        <v>93</v>
      </c>
      <c r="B32" s="14" t="n">
        <v>28</v>
      </c>
      <c r="C32" s="14" t="n">
        <v>1</v>
      </c>
      <c r="D32" s="20" t="n">
        <f aca="false">Bai1_ChiSo!G32</f>
        <v>8860</v>
      </c>
      <c r="E32" s="16"/>
      <c r="F32" s="17"/>
    </row>
    <row r="33" customFormat="false" ht="15" hidden="false" customHeight="false" outlineLevel="0" collapsed="false">
      <c r="A33" s="14" t="s">
        <v>94</v>
      </c>
      <c r="B33" s="14" t="n">
        <v>29</v>
      </c>
      <c r="C33" s="14" t="n">
        <v>2</v>
      </c>
      <c r="D33" s="20" t="n">
        <f aca="false">Bai1_ChiSo!G33</f>
        <v>10764</v>
      </c>
      <c r="E33" s="16"/>
      <c r="F33" s="17"/>
    </row>
    <row r="34" customFormat="false" ht="15" hidden="false" customHeight="false" outlineLevel="0" collapsed="false">
      <c r="A34" s="14" t="s">
        <v>95</v>
      </c>
      <c r="B34" s="14" t="n">
        <v>30</v>
      </c>
      <c r="C34" s="14" t="n">
        <v>3</v>
      </c>
      <c r="D34" s="20" t="n">
        <f aca="false">Bai1_ChiSo!G34</f>
        <v>12134</v>
      </c>
      <c r="E34" s="16"/>
      <c r="F34" s="17"/>
    </row>
    <row r="35" customFormat="false" ht="15" hidden="false" customHeight="false" outlineLevel="0" collapsed="false">
      <c r="A35" s="14" t="s">
        <v>96</v>
      </c>
      <c r="B35" s="14" t="n">
        <v>31</v>
      </c>
      <c r="C35" s="14" t="n">
        <v>4</v>
      </c>
      <c r="D35" s="20" t="n">
        <f aca="false">Bai1_ChiSo!G35</f>
        <v>18378</v>
      </c>
      <c r="E35" s="16"/>
      <c r="F35" s="17"/>
    </row>
    <row r="36" customFormat="false" ht="15" hidden="false" customHeight="false" outlineLevel="0" collapsed="false">
      <c r="A36" s="14" t="s">
        <v>97</v>
      </c>
      <c r="B36" s="14" t="n">
        <v>32</v>
      </c>
      <c r="C36" s="14" t="n">
        <v>5</v>
      </c>
      <c r="D36" s="20" t="n">
        <f aca="false">Bai1_ChiSo!G36</f>
        <v>18886</v>
      </c>
      <c r="E36" s="16"/>
      <c r="F36" s="17"/>
    </row>
    <row r="37" customFormat="false" ht="15" hidden="false" customHeight="false" outlineLevel="0" collapsed="false">
      <c r="A37" s="14" t="s">
        <v>98</v>
      </c>
      <c r="B37" s="14" t="n">
        <v>33</v>
      </c>
      <c r="C37" s="14" t="n">
        <v>6</v>
      </c>
      <c r="D37" s="20" t="n">
        <f aca="false">Bai1_ChiSo!G37</f>
        <v>21194</v>
      </c>
      <c r="E37" s="16"/>
      <c r="F37" s="17"/>
    </row>
    <row r="38" customFormat="false" ht="15" hidden="false" customHeight="false" outlineLevel="0" collapsed="false">
      <c r="A38" s="14" t="s">
        <v>100</v>
      </c>
      <c r="B38" s="14" t="n">
        <v>34</v>
      </c>
      <c r="C38" s="14" t="n">
        <v>7</v>
      </c>
      <c r="D38" s="20" t="n">
        <f aca="false">Bai1_ChiSo!G38</f>
        <v>19072</v>
      </c>
      <c r="E38" s="16"/>
      <c r="F38" s="17"/>
    </row>
    <row r="39" customFormat="false" ht="15" hidden="false" customHeight="false" outlineLevel="0" collapsed="false">
      <c r="A39" s="14" t="s">
        <v>101</v>
      </c>
      <c r="B39" s="14" t="n">
        <v>35</v>
      </c>
      <c r="C39" s="14" t="n">
        <v>8</v>
      </c>
      <c r="D39" s="20" t="n">
        <f aca="false">Bai1_ChiSo!G39</f>
        <v>18180</v>
      </c>
      <c r="E39" s="16"/>
      <c r="F39" s="17"/>
    </row>
    <row r="40" customFormat="false" ht="15" hidden="false" customHeight="false" outlineLevel="0" collapsed="false">
      <c r="A40" s="14" t="s">
        <v>102</v>
      </c>
      <c r="B40" s="14" t="n">
        <v>36</v>
      </c>
      <c r="C40" s="14" t="n">
        <v>9</v>
      </c>
      <c r="D40" s="20" t="n">
        <f aca="false">Bai1_ChiSo!G40</f>
        <v>14872</v>
      </c>
      <c r="E40" s="16"/>
      <c r="F40" s="17"/>
    </row>
    <row r="42" customFormat="false" ht="15" hidden="false" customHeight="false" outlineLevel="0" collapsed="false">
      <c r="A42" s="3" t="s">
        <v>113</v>
      </c>
    </row>
    <row r="43" customFormat="false" ht="30" hidden="false" customHeight="true" outlineLevel="0" collapsed="false">
      <c r="A43" s="6" t="s">
        <v>40</v>
      </c>
      <c r="B43" s="6" t="s">
        <v>105</v>
      </c>
      <c r="C43" s="6" t="s">
        <v>41</v>
      </c>
      <c r="D43" s="6" t="s">
        <v>109</v>
      </c>
      <c r="E43" s="6" t="s">
        <v>107</v>
      </c>
      <c r="F43" s="6" t="s">
        <v>114</v>
      </c>
    </row>
    <row r="44" customFormat="false" ht="15" hidden="false" customHeight="false" outlineLevel="0" collapsed="false">
      <c r="A44" s="14" t="s">
        <v>115</v>
      </c>
      <c r="B44" s="14" t="n">
        <v>37</v>
      </c>
      <c r="C44" s="14" t="n">
        <v>10</v>
      </c>
      <c r="D44" s="17"/>
      <c r="E44" s="16"/>
      <c r="F44" s="17"/>
    </row>
    <row r="45" customFormat="false" ht="15" hidden="false" customHeight="false" outlineLevel="0" collapsed="false">
      <c r="A45" s="14" t="s">
        <v>116</v>
      </c>
      <c r="B45" s="14" t="n">
        <v>38</v>
      </c>
      <c r="C45" s="14" t="n">
        <v>11</v>
      </c>
      <c r="D45" s="17"/>
      <c r="E45" s="16"/>
      <c r="F45" s="17"/>
    </row>
    <row r="46" customFormat="false" ht="15" hidden="false" customHeight="false" outlineLevel="0" collapsed="false">
      <c r="A46" s="14" t="s">
        <v>117</v>
      </c>
      <c r="B46" s="14" t="n">
        <v>39</v>
      </c>
      <c r="C46" s="14" t="n">
        <v>12</v>
      </c>
      <c r="D46" s="17"/>
      <c r="E46" s="16"/>
      <c r="F46" s="17"/>
    </row>
    <row r="47" customFormat="false" ht="15" hidden="false" customHeight="false" outlineLevel="0" collapsed="false">
      <c r="A47" s="14" t="s">
        <v>118</v>
      </c>
      <c r="B47" s="14" t="n">
        <v>40</v>
      </c>
      <c r="C47" s="14" t="n">
        <v>1</v>
      </c>
      <c r="D47" s="17"/>
      <c r="E47" s="16"/>
      <c r="F47" s="17"/>
    </row>
    <row r="48" customFormat="false" ht="15" hidden="false" customHeight="false" outlineLevel="0" collapsed="false">
      <c r="A48" s="14" t="s">
        <v>119</v>
      </c>
      <c r="B48" s="14" t="n">
        <v>41</v>
      </c>
      <c r="C48" s="14" t="n">
        <v>2</v>
      </c>
      <c r="D48" s="17"/>
      <c r="E48" s="16"/>
      <c r="F48" s="17"/>
    </row>
    <row r="49" customFormat="false" ht="15" hidden="false" customHeight="false" outlineLevel="0" collapsed="false">
      <c r="A49" s="14" t="s">
        <v>120</v>
      </c>
      <c r="B49" s="14" t="n">
        <v>42</v>
      </c>
      <c r="C49" s="14" t="n">
        <v>3</v>
      </c>
      <c r="D49" s="17"/>
      <c r="E49" s="16"/>
      <c r="F49" s="17"/>
    </row>
    <row r="50" customFormat="false" ht="15" hidden="false" customHeight="false" outlineLevel="0" collapsed="false">
      <c r="A50" s="14" t="s">
        <v>121</v>
      </c>
      <c r="B50" s="14" t="n">
        <v>43</v>
      </c>
      <c r="C50" s="14" t="n">
        <v>4</v>
      </c>
      <c r="D50" s="17"/>
      <c r="E50" s="16"/>
      <c r="F50" s="17"/>
    </row>
    <row r="51" customFormat="false" ht="15" hidden="false" customHeight="false" outlineLevel="0" collapsed="false">
      <c r="A51" s="14" t="s">
        <v>122</v>
      </c>
      <c r="B51" s="14" t="n">
        <v>44</v>
      </c>
      <c r="C51" s="14" t="n">
        <v>5</v>
      </c>
      <c r="D51" s="17"/>
      <c r="E51" s="16"/>
      <c r="F51" s="17"/>
    </row>
    <row r="52" customFormat="false" ht="15" hidden="false" customHeight="false" outlineLevel="0" collapsed="false">
      <c r="A52" s="14" t="s">
        <v>123</v>
      </c>
      <c r="B52" s="14" t="n">
        <v>45</v>
      </c>
      <c r="C52" s="14" t="n">
        <v>6</v>
      </c>
      <c r="D52" s="17"/>
      <c r="E52" s="16"/>
      <c r="F52" s="17"/>
    </row>
    <row r="53" customFormat="false" ht="15" hidden="false" customHeight="false" outlineLevel="0" collapsed="false">
      <c r="A53" s="14" t="s">
        <v>124</v>
      </c>
      <c r="B53" s="14" t="n">
        <v>46</v>
      </c>
      <c r="C53" s="14" t="n">
        <v>7</v>
      </c>
      <c r="D53" s="17"/>
      <c r="E53" s="16"/>
      <c r="F53" s="17"/>
    </row>
    <row r="54" customFormat="false" ht="15" hidden="false" customHeight="false" outlineLevel="0" collapsed="false">
      <c r="A54" s="14" t="s">
        <v>125</v>
      </c>
      <c r="B54" s="14" t="n">
        <v>47</v>
      </c>
      <c r="C54" s="14" t="n">
        <v>8</v>
      </c>
      <c r="D54" s="17"/>
      <c r="E54" s="16"/>
      <c r="F54" s="17"/>
    </row>
    <row r="55" customFormat="false" ht="15" hidden="false" customHeight="false" outlineLevel="0" collapsed="false">
      <c r="A55" s="14" t="s">
        <v>126</v>
      </c>
      <c r="B55" s="14" t="n">
        <v>48</v>
      </c>
      <c r="C55" s="14" t="n">
        <v>9</v>
      </c>
      <c r="D55" s="17"/>
      <c r="E55" s="16"/>
      <c r="F55" s="17"/>
    </row>
    <row r="57" customFormat="false" ht="15" hidden="false" customHeight="false" outlineLevel="0" collapsed="false">
      <c r="A57" s="7" t="s">
        <v>127</v>
      </c>
      <c r="F5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3"/>
    <col collapsed="false" customWidth="true" hidden="false" outlineLevel="0" max="9" min="9" style="0" width="30"/>
    <col collapsed="false" customWidth="true" hidden="false" outlineLevel="0" max="10" min="10" style="0" width="11"/>
  </cols>
  <sheetData>
    <row r="1" customFormat="false" ht="30" hidden="false" customHeight="tru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30" hidden="false" customHeight="true" outlineLevel="0" collapsed="false">
      <c r="A4" s="6" t="s">
        <v>40</v>
      </c>
      <c r="B4" s="6" t="s">
        <v>106</v>
      </c>
      <c r="C4" s="6" t="s">
        <v>130</v>
      </c>
      <c r="D4" s="6" t="s">
        <v>131</v>
      </c>
      <c r="E4" s="6" t="s">
        <v>132</v>
      </c>
      <c r="F4" s="6" t="s">
        <v>133</v>
      </c>
      <c r="G4" s="6" t="s">
        <v>134</v>
      </c>
      <c r="I4" s="19" t="s">
        <v>135</v>
      </c>
      <c r="J4" s="19" t="s">
        <v>136</v>
      </c>
    </row>
    <row r="5" customFormat="false" ht="15" hidden="false" customHeight="false" outlineLevel="0" collapsed="false">
      <c r="A5" s="14" t="s">
        <v>52</v>
      </c>
      <c r="B5" s="20" t="n">
        <f aca="false">Bai1_ChiSo!G5</f>
        <v>9030</v>
      </c>
      <c r="E5" s="23" t="n">
        <f aca="false">B5/AVERAGE($B$5:$B$16)</f>
        <v>0.690622171801507</v>
      </c>
      <c r="I5" s="14" t="s">
        <v>137</v>
      </c>
      <c r="J5" s="24" t="n">
        <v>0</v>
      </c>
    </row>
    <row r="6" customFormat="false" ht="15" hidden="false" customHeight="false" outlineLevel="0" collapsed="false">
      <c r="A6" s="14" t="s">
        <v>54</v>
      </c>
      <c r="B6" s="20" t="n">
        <f aca="false">Bai1_ChiSo!G6</f>
        <v>10818</v>
      </c>
      <c r="E6" s="23" t="n">
        <f aca="false">B6/AVERAGE($B$5:$B$16)</f>
        <v>0.827369950669845</v>
      </c>
      <c r="I6" s="14" t="s">
        <v>138</v>
      </c>
      <c r="J6" s="24" t="n">
        <v>0</v>
      </c>
    </row>
    <row r="7" customFormat="false" ht="15" hidden="false" customHeight="false" outlineLevel="0" collapsed="false">
      <c r="A7" s="14" t="s">
        <v>56</v>
      </c>
      <c r="B7" s="20" t="n">
        <f aca="false">Bai1_ChiSo!G7</f>
        <v>9463</v>
      </c>
      <c r="E7" s="23" t="n">
        <f aca="false">B7/AVERAGE($B$5:$B$16)</f>
        <v>0.723738384469287</v>
      </c>
      <c r="I7" s="14" t="s">
        <v>139</v>
      </c>
      <c r="J7" s="24" t="n">
        <v>0.205</v>
      </c>
    </row>
    <row r="8" customFormat="false" ht="15" hidden="false" customHeight="false" outlineLevel="0" collapsed="false">
      <c r="A8" s="14" t="s">
        <v>58</v>
      </c>
      <c r="B8" s="20" t="n">
        <f aca="false">Bai1_ChiSo!G8</f>
        <v>7528</v>
      </c>
      <c r="E8" s="23" t="n">
        <f aca="false">B8/AVERAGE($B$5:$B$16)</f>
        <v>0.575747919083249</v>
      </c>
    </row>
    <row r="9" customFormat="false" ht="15" hidden="false" customHeight="false" outlineLevel="0" collapsed="false">
      <c r="A9" s="14" t="s">
        <v>60</v>
      </c>
      <c r="B9" s="20" t="n">
        <f aca="false">Bai1_ChiSo!G9</f>
        <v>10148</v>
      </c>
      <c r="E9" s="23" t="n">
        <f aca="false">B9/AVERAGE($B$5:$B$16)</f>
        <v>0.77612777402455</v>
      </c>
    </row>
    <row r="10" customFormat="false" ht="15" hidden="false" customHeight="false" outlineLevel="0" collapsed="false">
      <c r="A10" s="14" t="s">
        <v>62</v>
      </c>
      <c r="B10" s="20" t="n">
        <f aca="false">Bai1_ChiSo!G10</f>
        <v>11681</v>
      </c>
      <c r="E10" s="23" t="n">
        <f aca="false">B10/AVERAGE($B$5:$B$16)</f>
        <v>0.893372933423411</v>
      </c>
      <c r="I10" s="19" t="s">
        <v>140</v>
      </c>
      <c r="J10" s="19"/>
    </row>
    <row r="11" customFormat="false" ht="15" hidden="false" customHeight="false" outlineLevel="0" collapsed="false">
      <c r="A11" s="14" t="s">
        <v>64</v>
      </c>
      <c r="B11" s="20" t="n">
        <f aca="false">Bai1_ChiSo!G11</f>
        <v>15566</v>
      </c>
      <c r="E11" s="23" t="n">
        <f aca="false">B11/AVERAGE($B$5:$B$16)</f>
        <v>1.19050107710545</v>
      </c>
      <c r="I11" s="14" t="s">
        <v>141</v>
      </c>
      <c r="J11" s="22"/>
    </row>
    <row r="12" customFormat="false" ht="15" hidden="false" customHeight="false" outlineLevel="0" collapsed="false">
      <c r="A12" s="14" t="s">
        <v>66</v>
      </c>
      <c r="B12" s="20" t="n">
        <f aca="false">Bai1_ChiSo!G12</f>
        <v>16912</v>
      </c>
      <c r="E12" s="23" t="n">
        <f aca="false">B12/AVERAGE($B$5:$B$16)</f>
        <v>1.29344431556003</v>
      </c>
      <c r="I12" s="14" t="s">
        <v>142</v>
      </c>
      <c r="J12" s="22"/>
    </row>
    <row r="13" customFormat="false" ht="15" hidden="false" customHeight="false" outlineLevel="0" collapsed="false">
      <c r="A13" s="14" t="s">
        <v>68</v>
      </c>
      <c r="B13" s="20" t="n">
        <f aca="false">Bai1_ChiSo!G13</f>
        <v>17536</v>
      </c>
      <c r="E13" s="23" t="n">
        <f aca="false">B13/AVERAGE($B$5:$B$16)</f>
        <v>1.34116837261475</v>
      </c>
      <c r="I13" s="14" t="s">
        <v>143</v>
      </c>
      <c r="J13" s="22"/>
    </row>
    <row r="14" customFormat="false" ht="15" hidden="false" customHeight="false" outlineLevel="0" collapsed="false">
      <c r="A14" s="14" t="s">
        <v>70</v>
      </c>
      <c r="B14" s="20" t="n">
        <f aca="false">Bai1_ChiSo!G14</f>
        <v>16688</v>
      </c>
      <c r="E14" s="23" t="n">
        <f aca="false">B14/AVERAGE($B$5:$B$16)</f>
        <v>1.27631260277116</v>
      </c>
    </row>
    <row r="15" customFormat="false" ht="15" hidden="false" customHeight="false" outlineLevel="0" collapsed="false">
      <c r="A15" s="14" t="s">
        <v>72</v>
      </c>
      <c r="B15" s="20" t="n">
        <f aca="false">Bai1_ChiSo!G15</f>
        <v>15900</v>
      </c>
      <c r="E15" s="23" t="n">
        <f aca="false">B15/AVERAGE($B$5:$B$16)</f>
        <v>1.21604568456744</v>
      </c>
      <c r="I15" s="2" t="s">
        <v>144</v>
      </c>
    </row>
    <row r="16" customFormat="false" ht="15" hidden="false" customHeight="false" outlineLevel="0" collapsed="false">
      <c r="A16" s="14" t="s">
        <v>74</v>
      </c>
      <c r="B16" s="20" t="n">
        <f aca="false">Bai1_ChiSo!G16</f>
        <v>15632</v>
      </c>
      <c r="C16" s="15" t="n">
        <f aca="false">AVERAGE(B5:B16)</f>
        <v>13075.1666666667</v>
      </c>
      <c r="D16" s="25" t="n">
        <f aca="false">(AVERAGE(B17:B28)-AVERAGE(B5:B16))/12</f>
        <v>94.513888888889</v>
      </c>
      <c r="E16" s="23" t="n">
        <f aca="false">B16/AVERAGE($B$5:$B$16)</f>
        <v>1.19554881390932</v>
      </c>
    </row>
    <row r="17" customFormat="false" ht="15" hidden="false" customHeight="false" outlineLevel="0" collapsed="false">
      <c r="A17" s="14" t="s">
        <v>76</v>
      </c>
      <c r="B17" s="20" t="n">
        <f aca="false">Bai1_ChiSo!G17</f>
        <v>13037</v>
      </c>
      <c r="C17" s="17"/>
      <c r="D17" s="21"/>
      <c r="E17" s="16"/>
      <c r="F17" s="17"/>
      <c r="G17" s="17"/>
    </row>
    <row r="18" customFormat="false" ht="15" hidden="false" customHeight="false" outlineLevel="0" collapsed="false">
      <c r="A18" s="14" t="s">
        <v>77</v>
      </c>
      <c r="B18" s="20" t="n">
        <f aca="false">Bai1_ChiSo!G18</f>
        <v>9100</v>
      </c>
      <c r="C18" s="17"/>
      <c r="D18" s="21"/>
      <c r="E18" s="16"/>
      <c r="F18" s="17"/>
      <c r="G18" s="17"/>
    </row>
    <row r="19" customFormat="false" ht="15" hidden="false" customHeight="false" outlineLevel="0" collapsed="false">
      <c r="A19" s="14" t="s">
        <v>79</v>
      </c>
      <c r="B19" s="20" t="n">
        <f aca="false">Bai1_ChiSo!G19</f>
        <v>10301</v>
      </c>
      <c r="C19" s="17"/>
      <c r="D19" s="21"/>
      <c r="E19" s="16"/>
      <c r="F19" s="17"/>
      <c r="G19" s="17"/>
    </row>
    <row r="20" customFormat="false" ht="15" hidden="false" customHeight="false" outlineLevel="0" collapsed="false">
      <c r="A20" s="14" t="s">
        <v>81</v>
      </c>
      <c r="B20" s="20" t="n">
        <f aca="false">Bai1_ChiSo!G20</f>
        <v>11166</v>
      </c>
      <c r="C20" s="17"/>
      <c r="D20" s="21"/>
      <c r="E20" s="16"/>
      <c r="F20" s="17"/>
      <c r="G20" s="17"/>
    </row>
    <row r="21" customFormat="false" ht="15" hidden="false" customHeight="false" outlineLevel="0" collapsed="false">
      <c r="A21" s="14" t="s">
        <v>82</v>
      </c>
      <c r="B21" s="20" t="n">
        <f aca="false">Bai1_ChiSo!G21</f>
        <v>11732</v>
      </c>
      <c r="C21" s="17"/>
      <c r="D21" s="21"/>
      <c r="E21" s="16"/>
      <c r="F21" s="17"/>
      <c r="G21" s="17"/>
    </row>
    <row r="22" customFormat="false" ht="15" hidden="false" customHeight="false" outlineLevel="0" collapsed="false">
      <c r="A22" s="14" t="s">
        <v>83</v>
      </c>
      <c r="B22" s="20" t="n">
        <f aca="false">Bai1_ChiSo!G22</f>
        <v>12308</v>
      </c>
      <c r="C22" s="17"/>
      <c r="D22" s="21"/>
      <c r="E22" s="16"/>
      <c r="F22" s="17"/>
      <c r="G22" s="17"/>
    </row>
    <row r="23" customFormat="false" ht="15" hidden="false" customHeight="false" outlineLevel="0" collapsed="false">
      <c r="A23" s="14" t="s">
        <v>84</v>
      </c>
      <c r="B23" s="20" t="n">
        <f aca="false">Bai1_ChiSo!G23</f>
        <v>16557</v>
      </c>
      <c r="C23" s="17"/>
      <c r="D23" s="21"/>
      <c r="E23" s="16"/>
      <c r="F23" s="17"/>
      <c r="G23" s="17"/>
    </row>
    <row r="24" customFormat="false" ht="15" hidden="false" customHeight="false" outlineLevel="0" collapsed="false">
      <c r="A24" s="14" t="s">
        <v>85</v>
      </c>
      <c r="B24" s="20" t="n">
        <f aca="false">Bai1_ChiSo!G24</f>
        <v>19041</v>
      </c>
      <c r="C24" s="17"/>
      <c r="D24" s="21"/>
      <c r="E24" s="16"/>
      <c r="F24" s="17"/>
      <c r="G24" s="17"/>
    </row>
    <row r="25" customFormat="false" ht="15" hidden="false" customHeight="false" outlineLevel="0" collapsed="false">
      <c r="A25" s="14" t="s">
        <v>86</v>
      </c>
      <c r="B25" s="20" t="n">
        <f aca="false">Bai1_ChiSo!G25</f>
        <v>22664</v>
      </c>
      <c r="C25" s="17"/>
      <c r="D25" s="21"/>
      <c r="E25" s="16"/>
      <c r="F25" s="17"/>
      <c r="G25" s="17"/>
    </row>
    <row r="26" customFormat="false" ht="15" hidden="false" customHeight="false" outlineLevel="0" collapsed="false">
      <c r="A26" s="14" t="s">
        <v>87</v>
      </c>
      <c r="B26" s="20" t="n">
        <f aca="false">Bai1_ChiSo!G26</f>
        <v>17202</v>
      </c>
      <c r="C26" s="17"/>
      <c r="D26" s="21"/>
      <c r="E26" s="16"/>
      <c r="F26" s="17"/>
      <c r="G26" s="17"/>
    </row>
    <row r="27" customFormat="false" ht="15" hidden="false" customHeight="false" outlineLevel="0" collapsed="false">
      <c r="A27" s="14" t="s">
        <v>88</v>
      </c>
      <c r="B27" s="20" t="n">
        <f aca="false">Bai1_ChiSo!G27</f>
        <v>14835</v>
      </c>
      <c r="C27" s="17"/>
      <c r="D27" s="21"/>
      <c r="E27" s="16"/>
      <c r="F27" s="17"/>
      <c r="G27" s="17"/>
    </row>
    <row r="28" customFormat="false" ht="15" hidden="false" customHeight="false" outlineLevel="0" collapsed="false">
      <c r="A28" s="14" t="s">
        <v>89</v>
      </c>
      <c r="B28" s="20" t="n">
        <f aca="false">Bai1_ChiSo!G28</f>
        <v>12569</v>
      </c>
      <c r="C28" s="17"/>
      <c r="D28" s="21"/>
      <c r="E28" s="16"/>
      <c r="F28" s="17"/>
      <c r="G28" s="17"/>
    </row>
    <row r="29" customFormat="false" ht="15" hidden="false" customHeight="false" outlineLevel="0" collapsed="false">
      <c r="A29" s="14" t="s">
        <v>90</v>
      </c>
      <c r="B29" s="20" t="n">
        <f aca="false">Bai1_ChiSo!G29</f>
        <v>10881</v>
      </c>
      <c r="C29" s="17"/>
      <c r="D29" s="21"/>
      <c r="E29" s="16"/>
      <c r="F29" s="17"/>
      <c r="G29" s="17"/>
    </row>
    <row r="30" customFormat="false" ht="15" hidden="false" customHeight="false" outlineLevel="0" collapsed="false">
      <c r="A30" s="14" t="s">
        <v>91</v>
      </c>
      <c r="B30" s="20" t="n">
        <f aca="false">Bai1_ChiSo!G30</f>
        <v>9440</v>
      </c>
      <c r="C30" s="17"/>
      <c r="D30" s="21"/>
      <c r="E30" s="16"/>
      <c r="F30" s="17"/>
      <c r="G30" s="17"/>
    </row>
    <row r="31" customFormat="false" ht="15" hidden="false" customHeight="false" outlineLevel="0" collapsed="false">
      <c r="A31" s="14" t="s">
        <v>92</v>
      </c>
      <c r="B31" s="20" t="n">
        <f aca="false">Bai1_ChiSo!G31</f>
        <v>7311</v>
      </c>
      <c r="C31" s="17"/>
      <c r="D31" s="21"/>
      <c r="E31" s="16"/>
      <c r="F31" s="17"/>
      <c r="G31" s="17"/>
    </row>
    <row r="32" customFormat="false" ht="15" hidden="false" customHeight="false" outlineLevel="0" collapsed="false">
      <c r="A32" s="14" t="s">
        <v>93</v>
      </c>
      <c r="B32" s="20" t="n">
        <f aca="false">Bai1_ChiSo!G32</f>
        <v>8860</v>
      </c>
      <c r="C32" s="17"/>
      <c r="D32" s="21"/>
      <c r="E32" s="16"/>
      <c r="F32" s="17"/>
      <c r="G32" s="17"/>
    </row>
    <row r="33" customFormat="false" ht="15" hidden="false" customHeight="false" outlineLevel="0" collapsed="false">
      <c r="A33" s="14" t="s">
        <v>94</v>
      </c>
      <c r="B33" s="20" t="n">
        <f aca="false">Bai1_ChiSo!G33</f>
        <v>10764</v>
      </c>
      <c r="C33" s="17"/>
      <c r="D33" s="21"/>
      <c r="E33" s="16"/>
      <c r="F33" s="17"/>
      <c r="G33" s="17"/>
    </row>
    <row r="34" customFormat="false" ht="15" hidden="false" customHeight="false" outlineLevel="0" collapsed="false">
      <c r="A34" s="14" t="s">
        <v>95</v>
      </c>
      <c r="B34" s="20" t="n">
        <f aca="false">Bai1_ChiSo!G34</f>
        <v>12134</v>
      </c>
      <c r="C34" s="17"/>
      <c r="D34" s="21"/>
      <c r="E34" s="16"/>
      <c r="F34" s="17"/>
      <c r="G34" s="17"/>
    </row>
    <row r="35" customFormat="false" ht="15" hidden="false" customHeight="false" outlineLevel="0" collapsed="false">
      <c r="A35" s="12" t="s">
        <v>96</v>
      </c>
      <c r="B35" s="20" t="n">
        <f aca="false">Bai1_ChiSo!G35</f>
        <v>18378</v>
      </c>
      <c r="F35" s="17"/>
      <c r="G35" s="17"/>
    </row>
    <row r="36" customFormat="false" ht="15" hidden="false" customHeight="false" outlineLevel="0" collapsed="false">
      <c r="A36" s="12" t="s">
        <v>97</v>
      </c>
      <c r="B36" s="20" t="n">
        <f aca="false">Bai1_ChiSo!G36</f>
        <v>18886</v>
      </c>
      <c r="F36" s="17"/>
      <c r="G36" s="17"/>
    </row>
    <row r="37" customFormat="false" ht="15" hidden="false" customHeight="false" outlineLevel="0" collapsed="false">
      <c r="A37" s="12" t="s">
        <v>98</v>
      </c>
      <c r="B37" s="20" t="n">
        <f aca="false">Bai1_ChiSo!G37</f>
        <v>21194</v>
      </c>
      <c r="F37" s="17"/>
      <c r="G37" s="17"/>
    </row>
    <row r="38" customFormat="false" ht="15" hidden="false" customHeight="false" outlineLevel="0" collapsed="false">
      <c r="A38" s="12" t="s">
        <v>100</v>
      </c>
      <c r="B38" s="20" t="n">
        <f aca="false">Bai1_ChiSo!G38</f>
        <v>19072</v>
      </c>
      <c r="F38" s="17"/>
      <c r="G38" s="17"/>
    </row>
    <row r="39" customFormat="false" ht="15" hidden="false" customHeight="false" outlineLevel="0" collapsed="false">
      <c r="A39" s="12" t="s">
        <v>101</v>
      </c>
      <c r="B39" s="20" t="n">
        <f aca="false">Bai1_ChiSo!G39</f>
        <v>18180</v>
      </c>
      <c r="F39" s="17"/>
      <c r="G39" s="17"/>
    </row>
    <row r="40" customFormat="false" ht="15" hidden="false" customHeight="false" outlineLevel="0" collapsed="false">
      <c r="A40" s="12" t="s">
        <v>102</v>
      </c>
      <c r="B40" s="20" t="n">
        <f aca="false">Bai1_ChiSo!G40</f>
        <v>14872</v>
      </c>
      <c r="F40" s="17"/>
      <c r="G4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0" hidden="false" customHeight="true" outlineLevel="0" collapsed="false">
      <c r="A4" s="6" t="s">
        <v>147</v>
      </c>
      <c r="B4" s="6" t="s">
        <v>148</v>
      </c>
      <c r="C4" s="6" t="s">
        <v>149</v>
      </c>
      <c r="D4" s="6" t="s">
        <v>150</v>
      </c>
      <c r="E4" s="6" t="s">
        <v>151</v>
      </c>
      <c r="F4" s="6" t="s">
        <v>152</v>
      </c>
      <c r="G4" s="6" t="s">
        <v>153</v>
      </c>
    </row>
    <row r="5" customFormat="false" ht="15" hidden="false" customHeight="false" outlineLevel="0" collapsed="false">
      <c r="A5" s="7" t="n">
        <v>2024</v>
      </c>
      <c r="B5" s="14" t="s">
        <v>154</v>
      </c>
      <c r="C5" s="23" t="n">
        <v>0</v>
      </c>
      <c r="D5" s="23" t="n">
        <v>0.7429</v>
      </c>
      <c r="E5" s="23" t="n">
        <v>0.2571</v>
      </c>
      <c r="F5" s="23" t="n">
        <v>0</v>
      </c>
      <c r="G5" s="23" t="n">
        <v>1</v>
      </c>
    </row>
    <row r="6" customFormat="false" ht="15" hidden="false" customHeight="false" outlineLevel="0" collapsed="false">
      <c r="A6" s="7" t="n">
        <v>2025</v>
      </c>
      <c r="B6" s="14" t="s">
        <v>155</v>
      </c>
      <c r="C6" s="23" t="n">
        <v>0.2</v>
      </c>
      <c r="D6" s="23" t="n">
        <v>0.8</v>
      </c>
      <c r="E6" s="23" t="n">
        <v>0</v>
      </c>
      <c r="F6" s="23" t="n">
        <v>0.2</v>
      </c>
      <c r="G6" s="23" t="n">
        <v>0.8</v>
      </c>
    </row>
    <row r="7" customFormat="false" ht="15" hidden="false" customHeight="false" outlineLevel="0" collapsed="false">
      <c r="A7" s="7" t="n">
        <v>2026</v>
      </c>
      <c r="B7" s="14" t="s">
        <v>156</v>
      </c>
      <c r="C7" s="23" t="n">
        <v>0</v>
      </c>
      <c r="D7" s="23" t="n">
        <v>0.5429</v>
      </c>
      <c r="E7" s="23" t="n">
        <v>0.4571</v>
      </c>
      <c r="F7" s="23" t="n">
        <v>0</v>
      </c>
      <c r="G7" s="23" t="n">
        <v>0.8</v>
      </c>
    </row>
    <row r="8" customFormat="false" ht="15" hidden="false" customHeight="false" outlineLevel="0" collapsed="false">
      <c r="A8" s="7" t="n">
        <v>2027</v>
      </c>
      <c r="B8" s="14" t="s">
        <v>157</v>
      </c>
      <c r="C8" s="23" t="n">
        <v>0</v>
      </c>
      <c r="D8" s="23" t="n">
        <v>0.8571</v>
      </c>
      <c r="E8" s="23" t="n">
        <v>0.1429</v>
      </c>
      <c r="F8" s="23" t="n">
        <v>0</v>
      </c>
      <c r="G8" s="23" t="n">
        <v>1</v>
      </c>
    </row>
    <row r="10" customFormat="false" ht="15" hidden="false" customHeight="false" outlineLevel="0" collapsed="false">
      <c r="A10" s="3" t="s">
        <v>158</v>
      </c>
    </row>
    <row r="11" customFormat="false" ht="30" hidden="false" customHeight="true" outlineLevel="0" collapsed="false">
      <c r="A11" s="6" t="s">
        <v>159</v>
      </c>
      <c r="B11" s="6" t="s">
        <v>160</v>
      </c>
      <c r="C11" s="6" t="s">
        <v>161</v>
      </c>
      <c r="D11" s="6" t="s">
        <v>162</v>
      </c>
    </row>
    <row r="12" customFormat="false" ht="15" hidden="false" customHeight="false" outlineLevel="0" collapsed="false">
      <c r="A12" s="7" t="n">
        <v>2024</v>
      </c>
      <c r="B12" s="17"/>
      <c r="C12" s="17"/>
      <c r="D12" s="18"/>
    </row>
    <row r="13" customFormat="false" ht="15" hidden="false" customHeight="false" outlineLevel="0" collapsed="false">
      <c r="A13" s="7" t="n">
        <v>2025</v>
      </c>
      <c r="B13" s="17"/>
      <c r="C13" s="17"/>
      <c r="D13" s="18"/>
    </row>
    <row r="14" customFormat="false" ht="15" hidden="false" customHeight="false" outlineLevel="0" collapsed="false">
      <c r="A14" s="7" t="n">
        <v>2026</v>
      </c>
      <c r="B14" s="17"/>
      <c r="C14" s="17"/>
      <c r="D14" s="18"/>
    </row>
    <row r="15" customFormat="false" ht="15" hidden="false" customHeight="false" outlineLevel="0" collapsed="false">
      <c r="A15" s="7" t="s">
        <v>163</v>
      </c>
      <c r="D15" s="18"/>
    </row>
    <row r="17" customFormat="false" ht="15" hidden="false" customHeight="false" outlineLevel="0" collapsed="false">
      <c r="A17" s="3" t="s">
        <v>164</v>
      </c>
    </row>
    <row r="18" customFormat="false" ht="15" hidden="false" customHeight="false" outlineLevel="0" collapsed="false">
      <c r="A18" s="14" t="s">
        <v>165</v>
      </c>
      <c r="B18" s="26" t="n">
        <v>0.03</v>
      </c>
    </row>
    <row r="19" customFormat="false" ht="15" hidden="false" customHeight="false" outlineLevel="0" collapsed="false">
      <c r="A19" s="14" t="s">
        <v>166</v>
      </c>
      <c r="B19" s="26" t="n">
        <v>0.15</v>
      </c>
    </row>
    <row r="20" customFormat="false" ht="15" hidden="false" customHeight="false" outlineLevel="0" collapsed="false">
      <c r="A20" s="14" t="s">
        <v>167</v>
      </c>
      <c r="B20" s="17"/>
    </row>
    <row r="21" customFormat="false" ht="15" hidden="false" customHeight="false" outlineLevel="0" collapsed="false">
      <c r="A21" s="14" t="s">
        <v>168</v>
      </c>
      <c r="B21" s="17"/>
    </row>
    <row r="23" customFormat="false" ht="30" hidden="false" customHeight="true" outlineLevel="0" collapsed="false">
      <c r="A23" s="6" t="s">
        <v>40</v>
      </c>
      <c r="B23" s="6" t="s">
        <v>169</v>
      </c>
      <c r="C23" s="6" t="s">
        <v>170</v>
      </c>
      <c r="D23" s="6" t="s">
        <v>171</v>
      </c>
      <c r="E23" s="6" t="s">
        <v>172</v>
      </c>
      <c r="F23" s="6" t="s">
        <v>173</v>
      </c>
      <c r="G23" s="6" t="s">
        <v>33</v>
      </c>
    </row>
    <row r="24" customFormat="false" ht="15" hidden="false" customHeight="false" outlineLevel="0" collapsed="false">
      <c r="A24" s="7" t="s">
        <v>117</v>
      </c>
      <c r="B24" s="23" t="n">
        <f aca="false">C8</f>
        <v>0</v>
      </c>
      <c r="C24" s="23" t="n">
        <v>0</v>
      </c>
      <c r="D24" s="17"/>
      <c r="E24" s="17"/>
      <c r="F24" s="17"/>
    </row>
    <row r="25" customFormat="false" ht="15" hidden="false" customHeight="false" outlineLevel="0" collapsed="false">
      <c r="A25" s="7" t="s">
        <v>118</v>
      </c>
      <c r="B25" s="23" t="n">
        <f aca="false">D8</f>
        <v>0.8571</v>
      </c>
      <c r="C25" s="23" t="n">
        <f aca="false">F8</f>
        <v>0</v>
      </c>
      <c r="D25" s="17"/>
      <c r="E25" s="17"/>
      <c r="F25" s="17"/>
    </row>
    <row r="26" customFormat="false" ht="15" hidden="false" customHeight="false" outlineLevel="0" collapsed="false">
      <c r="A26" s="7" t="s">
        <v>119</v>
      </c>
      <c r="B26" s="23" t="n">
        <f aca="false">E8</f>
        <v>0.1429</v>
      </c>
      <c r="C26" s="23" t="n">
        <f aca="false">G8</f>
        <v>1</v>
      </c>
      <c r="D26" s="17"/>
      <c r="E26" s="17"/>
      <c r="F26" s="17"/>
      <c r="G26" s="27" t="s">
        <v>174</v>
      </c>
    </row>
    <row r="28" customFormat="false" ht="15" hidden="false" customHeight="false" outlineLevel="0" collapsed="false">
      <c r="A28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30" hidden="false" customHeight="tru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30" hidden="false" customHeight="true" outlineLevel="0" collapsed="false">
      <c r="A4" s="6" t="s">
        <v>178</v>
      </c>
      <c r="B4" s="6" t="s">
        <v>115</v>
      </c>
      <c r="C4" s="6" t="s">
        <v>116</v>
      </c>
      <c r="D4" s="6" t="s">
        <v>117</v>
      </c>
      <c r="E4" s="6" t="s">
        <v>118</v>
      </c>
      <c r="F4" s="6" t="s">
        <v>119</v>
      </c>
    </row>
    <row r="5" customFormat="false" ht="15" hidden="false" customHeight="false" outlineLevel="0" collapsed="false">
      <c r="A5" s="7" t="s">
        <v>179</v>
      </c>
      <c r="B5" s="28" t="n">
        <v>31000</v>
      </c>
      <c r="C5" s="28" t="n">
        <v>32500</v>
      </c>
      <c r="D5" s="28" t="n">
        <v>35000</v>
      </c>
      <c r="E5" s="28" t="n">
        <v>45500</v>
      </c>
      <c r="F5" s="28" t="n">
        <v>29000</v>
      </c>
    </row>
    <row r="6" customFormat="false" ht="15" hidden="false" customHeight="false" outlineLevel="0" collapsed="false">
      <c r="A6" s="7" t="s">
        <v>180</v>
      </c>
      <c r="B6" s="15" t="n">
        <v>36400</v>
      </c>
      <c r="C6" s="15" t="n">
        <v>36400</v>
      </c>
      <c r="D6" s="15" t="n">
        <v>36400</v>
      </c>
      <c r="E6" s="15" t="n">
        <v>36400</v>
      </c>
      <c r="F6" s="15" t="n">
        <v>30800</v>
      </c>
    </row>
    <row r="7" customFormat="false" ht="15" hidden="false" customHeight="false" outlineLevel="0" collapsed="false">
      <c r="A7" s="7" t="s">
        <v>181</v>
      </c>
      <c r="B7" s="15" t="n">
        <v>3900</v>
      </c>
      <c r="C7" s="15" t="n">
        <v>3900</v>
      </c>
      <c r="D7" s="15" t="n">
        <v>3900</v>
      </c>
      <c r="E7" s="15" t="n">
        <v>3900</v>
      </c>
      <c r="F7" s="15" t="n">
        <v>3300</v>
      </c>
    </row>
    <row r="8" customFormat="false" ht="15" hidden="false" customHeight="false" outlineLevel="0" collapsed="false">
      <c r="A8" s="7" t="s">
        <v>182</v>
      </c>
      <c r="B8" s="17"/>
      <c r="C8" s="17"/>
      <c r="D8" s="17"/>
      <c r="E8" s="17"/>
      <c r="F8" s="17"/>
    </row>
    <row r="9" customFormat="false" ht="15" hidden="false" customHeight="false" outlineLevel="0" collapsed="false">
      <c r="A9" s="7" t="s">
        <v>183</v>
      </c>
      <c r="B9" s="17"/>
      <c r="C9" s="17"/>
      <c r="D9" s="17"/>
      <c r="E9" s="17"/>
      <c r="F9" s="17"/>
    </row>
    <row r="10" customFormat="false" ht="15" hidden="false" customHeight="false" outlineLevel="0" collapsed="false">
      <c r="A10" s="7" t="s">
        <v>184</v>
      </c>
      <c r="D10" s="17"/>
      <c r="E10" s="17"/>
    </row>
    <row r="11" customFormat="false" ht="15" hidden="false" customHeight="false" outlineLevel="0" collapsed="false">
      <c r="A11" s="7" t="s">
        <v>185</v>
      </c>
      <c r="B11" s="17"/>
      <c r="C11" s="17"/>
      <c r="D11" s="17"/>
      <c r="E11" s="17"/>
      <c r="F11" s="17"/>
    </row>
    <row r="13" customFormat="false" ht="15" hidden="false" customHeight="false" outlineLevel="0" collapsed="false">
      <c r="A13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2026-10-24T23:10:09Z</dcterms:created>
  <dc:creator>openpyxl</dc:creator>
  <dc:description/>
  <dc:language>en-US</dc:language>
  <cp:lastModifiedBy/>
  <dcterms:modified xsi:type="dcterms:W3CDTF">2026-10-25T00:11:16Z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