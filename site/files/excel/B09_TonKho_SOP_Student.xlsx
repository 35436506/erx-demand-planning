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HuongDan" sheetId="1" state="visible" r:id="rId3"/>
    <sheet name="Bai1_SS_ROP" sheetId="2" state="visible" r:id="rId4"/>
    <sheet name="Bai2_DuongCong" sheetId="3" state="visible" r:id="rId5"/>
    <sheet name="Bai3_CanhBaoSom" sheetId="4" state="visible" r:id="rId6"/>
    <sheet name="Bai4_HanDung" sheetId="5" state="visible" r:id="rId7"/>
    <sheet name="Bai5_NangLuc" sheetId="6" state="visible" r:id="rId8"/>
    <sheet name="Bai6_KPI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5" authorId="0">
      <text>
        <r>
          <rPr>
            <sz val="10"/>
            <rFont val="Arial"/>
            <family val="2"/>
          </rPr>
          <t xml:space="preserve">RMSE = SQRT(SUMSQ(e)/12)</t>
        </r>
      </text>
    </comment>
    <comment ref="O6" authorId="0">
      <text>
        <r>
          <rPr>
            <sz val="10"/>
            <rFont val="Arial"/>
            <family val="2"/>
          </rPr>
          <t xml:space="preserve">RMSE = SQRT(SUMSQ(e)/12)</t>
        </r>
      </text>
    </comment>
    <comment ref="O7" authorId="0">
      <text>
        <r>
          <rPr>
            <sz val="10"/>
            <rFont val="Arial"/>
            <family val="2"/>
          </rPr>
          <t xml:space="preserve">RMSE = SQRT(SUMSQ(e)/12)</t>
        </r>
      </text>
    </comment>
    <comment ref="O8" authorId="0">
      <text>
        <r>
          <rPr>
            <sz val="10"/>
            <rFont val="Arial"/>
            <family val="2"/>
          </rPr>
          <t xml:space="preserve">RMSE = SQRT(SUMSQ(e)/12)</t>
        </r>
      </text>
    </comment>
    <comment ref="O9" authorId="0">
      <text>
        <r>
          <rPr>
            <sz val="10"/>
            <rFont val="Arial"/>
            <family val="2"/>
          </rPr>
          <t xml:space="preserve">RMSE = SQRT(SUMSQ(e)/12)</t>
        </r>
      </text>
    </comment>
    <comment ref="O10" authorId="0">
      <text>
        <r>
          <rPr>
            <sz val="10"/>
            <rFont val="Arial"/>
            <family val="2"/>
          </rPr>
          <t xml:space="preserve">RMSE = SQRT(SUMSQ(e)/12)</t>
        </r>
      </text>
    </comment>
    <comment ref="T5" authorId="0">
      <text>
        <r>
          <rPr>
            <sz val="10"/>
            <rFont val="Arial"/>
            <family val="2"/>
          </rPr>
          <t xml:space="preserve">= z × σ × √L</t>
        </r>
      </text>
    </comment>
    <comment ref="T6" authorId="0">
      <text>
        <r>
          <rPr>
            <sz val="10"/>
            <rFont val="Arial"/>
            <family val="2"/>
          </rPr>
          <t xml:space="preserve">= z × σ × √L</t>
        </r>
      </text>
    </comment>
    <comment ref="T7" authorId="0">
      <text>
        <r>
          <rPr>
            <sz val="10"/>
            <rFont val="Arial"/>
            <family val="2"/>
          </rPr>
          <t xml:space="preserve">= z × σ × √L</t>
        </r>
      </text>
    </comment>
    <comment ref="T8" authorId="0">
      <text>
        <r>
          <rPr>
            <sz val="10"/>
            <rFont val="Arial"/>
            <family val="2"/>
          </rPr>
          <t xml:space="preserve">= z × σ × √L</t>
        </r>
      </text>
    </comment>
    <comment ref="T9" authorId="0">
      <text>
        <r>
          <rPr>
            <sz val="10"/>
            <rFont val="Arial"/>
            <family val="2"/>
          </rPr>
          <t xml:space="preserve">= z × σ × √L</t>
        </r>
      </text>
    </comment>
    <comment ref="T10" authorId="0">
      <text>
        <r>
          <rPr>
            <sz val="10"/>
            <rFont val="Arial"/>
            <family val="2"/>
          </rPr>
          <t xml:space="preserve">= z × σ × √L</t>
        </r>
      </text>
    </comment>
    <comment ref="U5" authorId="0">
      <text>
        <r>
          <rPr>
            <sz val="10"/>
            <rFont val="Arial"/>
            <family val="2"/>
          </rPr>
          <t xml:space="preserve">Cách làm SAI phổ biến: dùng SD nhu cầu</t>
        </r>
      </text>
    </comment>
    <comment ref="U6" authorId="0">
      <text>
        <r>
          <rPr>
            <sz val="10"/>
            <rFont val="Arial"/>
            <family val="2"/>
          </rPr>
          <t xml:space="preserve">Cách làm SAI phổ biến: dùng SD nhu cầu</t>
        </r>
      </text>
    </comment>
    <comment ref="U7" authorId="0">
      <text>
        <r>
          <rPr>
            <sz val="10"/>
            <rFont val="Arial"/>
            <family val="2"/>
          </rPr>
          <t xml:space="preserve">Cách làm SAI phổ biến: dùng SD nhu cầu</t>
        </r>
      </text>
    </comment>
    <comment ref="U8" authorId="0">
      <text>
        <r>
          <rPr>
            <sz val="10"/>
            <rFont val="Arial"/>
            <family val="2"/>
          </rPr>
          <t xml:space="preserve">Cách làm SAI phổ biến: dùng SD nhu cầu</t>
        </r>
      </text>
    </comment>
    <comment ref="U9" authorId="0">
      <text>
        <r>
          <rPr>
            <sz val="10"/>
            <rFont val="Arial"/>
            <family val="2"/>
          </rPr>
          <t xml:space="preserve">Cách làm SAI phổ biến: dùng SD nhu cầu</t>
        </r>
      </text>
    </comment>
    <comment ref="U10" authorId="0">
      <text>
        <r>
          <rPr>
            <sz val="10"/>
            <rFont val="Arial"/>
            <family val="2"/>
          </rPr>
          <t xml:space="preserve">Cách làm SAI phổ biến: dùng SD nhu cầu</t>
        </r>
      </text>
    </comment>
    <comment ref="V5" authorId="0">
      <text>
        <r>
          <rPr>
            <sz val="10"/>
            <rFont val="Arial"/>
            <family val="2"/>
          </rPr>
          <t xml:space="preserve">ROP = nhu cầu trong lead time + SS</t>
        </r>
      </text>
    </comment>
    <comment ref="V6" authorId="0">
      <text>
        <r>
          <rPr>
            <sz val="10"/>
            <rFont val="Arial"/>
            <family val="2"/>
          </rPr>
          <t xml:space="preserve">ROP = nhu cầu trong lead time + SS</t>
        </r>
      </text>
    </comment>
    <comment ref="V7" authorId="0">
      <text>
        <r>
          <rPr>
            <sz val="10"/>
            <rFont val="Arial"/>
            <family val="2"/>
          </rPr>
          <t xml:space="preserve">ROP = nhu cầu trong lead time + SS</t>
        </r>
      </text>
    </comment>
    <comment ref="V8" authorId="0">
      <text>
        <r>
          <rPr>
            <sz val="10"/>
            <rFont val="Arial"/>
            <family val="2"/>
          </rPr>
          <t xml:space="preserve">ROP = nhu cầu trong lead time + SS</t>
        </r>
      </text>
    </comment>
    <comment ref="V9" authorId="0">
      <text>
        <r>
          <rPr>
            <sz val="10"/>
            <rFont val="Arial"/>
            <family val="2"/>
          </rPr>
          <t xml:space="preserve">ROP = nhu cầu trong lead time + SS</t>
        </r>
      </text>
    </comment>
    <comment ref="V10" authorId="0">
      <text>
        <r>
          <rPr>
            <sz val="10"/>
            <rFont val="Arial"/>
            <family val="2"/>
          </rPr>
          <t xml:space="preserve">ROP = nhu cầu trong lead time + SS</t>
        </r>
      </text>
    </comment>
    <comment ref="W5" authorId="0">
      <text>
        <r>
          <rPr>
            <sz val="10"/>
            <rFont val="Arial"/>
            <family val="2"/>
          </rPr>
          <t xml:space="preserve">SS quy ra số ngày bán</t>
        </r>
      </text>
    </comment>
    <comment ref="W6" authorId="0">
      <text>
        <r>
          <rPr>
            <sz val="10"/>
            <rFont val="Arial"/>
            <family val="2"/>
          </rPr>
          <t xml:space="preserve">SS quy ra số ngày bán</t>
        </r>
      </text>
    </comment>
    <comment ref="W7" authorId="0">
      <text>
        <r>
          <rPr>
            <sz val="10"/>
            <rFont val="Arial"/>
            <family val="2"/>
          </rPr>
          <t xml:space="preserve">SS quy ra số ngày bán</t>
        </r>
      </text>
    </comment>
    <comment ref="W8" authorId="0">
      <text>
        <r>
          <rPr>
            <sz val="10"/>
            <rFont val="Arial"/>
            <family val="2"/>
          </rPr>
          <t xml:space="preserve">SS quy ra số ngày bán</t>
        </r>
      </text>
    </comment>
    <comment ref="W9" authorId="0">
      <text>
        <r>
          <rPr>
            <sz val="10"/>
            <rFont val="Arial"/>
            <family val="2"/>
          </rPr>
          <t xml:space="preserve">SS quy ra số ngày bán</t>
        </r>
      </text>
    </comment>
    <comment ref="W10" authorId="0">
      <text>
        <r>
          <rPr>
            <sz val="10"/>
            <rFont val="Arial"/>
            <family val="2"/>
          </rPr>
          <t xml:space="preserve">SS quy ra số ngày bán</t>
        </r>
      </text>
    </comment>
    <comment ref="X5" authorId="0">
      <text>
        <r>
          <rPr>
            <sz val="10"/>
            <rFont val="Arial"/>
            <family val="2"/>
          </rPr>
          <t xml:space="preserve">SS × giá vốn / 1000</t>
        </r>
      </text>
    </comment>
    <comment ref="X6" authorId="0">
      <text>
        <r>
          <rPr>
            <sz val="10"/>
            <rFont val="Arial"/>
            <family val="2"/>
          </rPr>
          <t xml:space="preserve">SS × giá vốn / 1000</t>
        </r>
      </text>
    </comment>
    <comment ref="X7" authorId="0">
      <text>
        <r>
          <rPr>
            <sz val="10"/>
            <rFont val="Arial"/>
            <family val="2"/>
          </rPr>
          <t xml:space="preserve">SS × giá vốn / 1000</t>
        </r>
      </text>
    </comment>
    <comment ref="X8" authorId="0">
      <text>
        <r>
          <rPr>
            <sz val="10"/>
            <rFont val="Arial"/>
            <family val="2"/>
          </rPr>
          <t xml:space="preserve">SS × giá vốn / 1000</t>
        </r>
      </text>
    </comment>
    <comment ref="X9" authorId="0">
      <text>
        <r>
          <rPr>
            <sz val="10"/>
            <rFont val="Arial"/>
            <family val="2"/>
          </rPr>
          <t xml:space="preserve">SS × giá vốn / 1000</t>
        </r>
      </text>
    </comment>
    <comment ref="X10" authorId="0">
      <text>
        <r>
          <rPr>
            <sz val="10"/>
            <rFont val="Arial"/>
            <family val="2"/>
          </rPr>
          <t xml:space="preserve">SS × giá vốn / 1000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Lô đầu tiên của SKU: số lượng / bán mỗi ngày</t>
        </r>
      </text>
    </comment>
    <comment ref="G6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7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8" authorId="0">
      <text>
        <r>
          <rPr>
            <sz val="10"/>
            <rFont val="Arial"/>
            <family val="2"/>
          </rPr>
          <t xml:space="preserve">Lô đầu tiên của SKU: số lượng / bán mỗi ngày</t>
        </r>
      </text>
    </comment>
    <comment ref="G9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10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11" authorId="0">
      <text>
        <r>
          <rPr>
            <sz val="10"/>
            <rFont val="Arial"/>
            <family val="2"/>
          </rPr>
          <t xml:space="preserve">Lô đầu tiên của SKU: số lượng / bán mỗi ngày</t>
        </r>
      </text>
    </comment>
    <comment ref="G12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13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14" authorId="0">
      <text>
        <r>
          <rPr>
            <sz val="10"/>
            <rFont val="Arial"/>
            <family val="2"/>
          </rPr>
          <t xml:space="preserve">Lô đầu tiên của SKU: số lượng / bán mỗi ngày</t>
        </r>
      </text>
    </comment>
    <comment ref="G15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16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17" authorId="0">
      <text>
        <r>
          <rPr>
            <sz val="10"/>
            <rFont val="Arial"/>
            <family val="2"/>
          </rPr>
          <t xml:space="preserve">Lô đầu tiên của SKU: số lượng / bán mỗi ngày</t>
        </r>
      </text>
    </comment>
    <comment ref="G18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19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20" authorId="0">
      <text>
        <r>
          <rPr>
            <sz val="10"/>
            <rFont val="Arial"/>
            <family val="2"/>
          </rPr>
          <t xml:space="preserve">Lô đầu tiên của SKU: số lượng / bán mỗi ngày</t>
        </r>
      </text>
    </comment>
    <comment ref="G21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22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23" authorId="0">
      <text>
        <r>
          <rPr>
            <sz val="10"/>
            <rFont val="Arial"/>
            <family val="2"/>
          </rPr>
          <t xml:space="preserve">Lô đầu tiên của SKU: số lượng / bán mỗi ngày</t>
        </r>
      </text>
    </comment>
    <comment ref="G24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25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26" authorId="0">
      <text>
        <r>
          <rPr>
            <sz val="10"/>
            <rFont val="Arial"/>
            <family val="2"/>
          </rPr>
          <t xml:space="preserve">Lô đầu tiên của SKU: số lượng / bán mỗi ngày</t>
        </r>
      </text>
    </comment>
    <comment ref="G27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28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29" authorId="0">
      <text>
        <r>
          <rPr>
            <sz val="10"/>
            <rFont val="Arial"/>
            <family val="2"/>
          </rPr>
          <t xml:space="preserve">Lô đầu tiên của SKU: số lượng / bán mỗi ngày</t>
        </r>
      </text>
    </comment>
    <comment ref="G30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31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32" authorId="0">
      <text>
        <r>
          <rPr>
            <sz val="10"/>
            <rFont val="Arial"/>
            <family val="2"/>
          </rPr>
          <t xml:space="preserve">Lô đầu tiên của SKU: số lượng / bán mỗi ngày</t>
        </r>
      </text>
    </comment>
    <comment ref="G33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34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35" authorId="0">
      <text>
        <r>
          <rPr>
            <sz val="10"/>
            <rFont val="Arial"/>
            <family val="2"/>
          </rPr>
          <t xml:space="preserve">Lô đầu tiên của SKU: số lượng / bán mỗi ngày</t>
        </r>
      </text>
    </comment>
    <comment ref="G36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37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38" authorId="0">
      <text>
        <r>
          <rPr>
            <sz val="10"/>
            <rFont val="Arial"/>
            <family val="2"/>
          </rPr>
          <t xml:space="preserve">Lô đầu tiên của SKU: số lượng / bán mỗi ngày</t>
        </r>
      </text>
    </comment>
    <comment ref="G39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40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41" authorId="0">
      <text>
        <r>
          <rPr>
            <sz val="10"/>
            <rFont val="Arial"/>
            <family val="2"/>
          </rPr>
          <t xml:space="preserve">Lô đầu tiên của SKU: số lượng / bán mỗi ngày</t>
        </r>
      </text>
    </comment>
    <comment ref="G42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43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44" authorId="0">
      <text>
        <r>
          <rPr>
            <sz val="10"/>
            <rFont val="Arial"/>
            <family val="2"/>
          </rPr>
          <t xml:space="preserve">Lô đầu tiên của SKU: số lượng / bán mỗi ngày</t>
        </r>
      </text>
    </comment>
    <comment ref="G45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46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47" authorId="0">
      <text>
        <r>
          <rPr>
            <sz val="10"/>
            <rFont val="Arial"/>
            <family val="2"/>
          </rPr>
          <t xml:space="preserve">Lô đầu tiên của SKU: số lượng / bán mỗi ngày</t>
        </r>
      </text>
    </comment>
    <comment ref="G48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49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50" authorId="0">
      <text>
        <r>
          <rPr>
            <sz val="10"/>
            <rFont val="Arial"/>
            <family val="2"/>
          </rPr>
          <t xml:space="preserve">Lô đầu tiên của SKU: số lượng / bán mỗi ngày</t>
        </r>
      </text>
    </comment>
    <comment ref="G51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52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53" authorId="0">
      <text>
        <r>
          <rPr>
            <sz val="10"/>
            <rFont val="Arial"/>
            <family val="2"/>
          </rPr>
          <t xml:space="preserve">Lô đầu tiên của SKU: số lượng / bán mỗi ngày</t>
        </r>
      </text>
    </comment>
    <comment ref="G54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55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56" authorId="0">
      <text>
        <r>
          <rPr>
            <sz val="10"/>
            <rFont val="Arial"/>
            <family val="2"/>
          </rPr>
          <t xml:space="preserve">Lô đầu tiên của SKU: số lượng / bán mỗi ngày</t>
        </r>
      </text>
    </comment>
    <comment ref="G57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58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59" authorId="0">
      <text>
        <r>
          <rPr>
            <sz val="10"/>
            <rFont val="Arial"/>
            <family val="2"/>
          </rPr>
          <t xml:space="preserve">Lô đầu tiên của SKU: số lượng / bán mỗi ngày</t>
        </r>
      </text>
    </comment>
    <comment ref="G60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61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62" authorId="0">
      <text>
        <r>
          <rPr>
            <sz val="10"/>
            <rFont val="Arial"/>
            <family val="2"/>
          </rPr>
          <t xml:space="preserve">Lô đầu tiên của SKU: số lượng / bán mỗi ngày</t>
        </r>
      </text>
    </comment>
    <comment ref="G63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64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65" authorId="0">
      <text>
        <r>
          <rPr>
            <sz val="10"/>
            <rFont val="Arial"/>
            <family val="2"/>
          </rPr>
          <t xml:space="preserve">Lô đầu tiên của SKU: số lượng / bán mỗi ngày</t>
        </r>
      </text>
    </comment>
    <comment ref="G66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67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68" authorId="0">
      <text>
        <r>
          <rPr>
            <sz val="10"/>
            <rFont val="Arial"/>
            <family val="2"/>
          </rPr>
          <t xml:space="preserve">Lô đầu tiên của SKU: số lượng / bán mỗi ngày</t>
        </r>
      </text>
    </comment>
    <comment ref="G69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  <comment ref="G70" authorId="0">
      <text>
        <r>
          <rPr>
            <sz val="10"/>
            <rFont val="Arial"/>
            <family val="2"/>
          </rPr>
          <t xml:space="preserve">Cộng dồn với lô trước (FEFO: lô hết hạn sớm bán trước)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Lấy từ Buổi 8 (Bai1_FVA)</t>
        </r>
      </text>
    </comment>
    <comment ref="B6" authorId="0">
      <text>
        <r>
          <rPr>
            <sz val="10"/>
            <rFont val="Arial"/>
            <family val="2"/>
          </rPr>
          <t xml:space="preserve">Lấy từ Buổi 8 (Bai1_FVA)</t>
        </r>
      </text>
    </comment>
  </commentList>
</comments>
</file>

<file path=xl/sharedStrings.xml><?xml version="1.0" encoding="utf-8"?>
<sst xmlns="http://schemas.openxmlformats.org/spreadsheetml/2006/main" count="404" uniqueCount="255">
  <si>
    <t xml:space="preserve">BUỔI 9 · TỪ DỰ BÁO ĐẾN TỒN KHO VÀ S&amp;OP</t>
  </si>
  <si>
    <t xml:space="preserve">ERX · Demand Planning &amp; Forecasting in Practice · BẢN HỌC VIÊN · Thư Nguyễn · thu.minh090997@gmail.com</t>
  </si>
  <si>
    <t xml:space="preserve">Mục tiêu</t>
  </si>
  <si>
    <t xml:space="preserve">•</t>
  </si>
  <si>
    <t xml:space="preserve">Tính Safety Stock = z × σ × √L với σ là độ lệch chuẩn SAI SỐ DỰ BÁO ngoài mẫu — so với cách dùng độ lệch chuẩn nhu cầu.</t>
  </si>
  <si>
    <t xml:space="preserve">Tính điểm đặt hàng lại (ROP) và thấy đường cong mức phục vụ – vốn tồn kho phi tuyến.</t>
  </si>
  <si>
    <t xml:space="preserve">Lập cảnh báo sớm trong tháng (run-rate) và cảnh báo hạn sử dụng theo lô (FEFO).</t>
  </si>
  <si>
    <t xml:space="preserve">Đưa nhu cầu chưa giới hạn vào bài toán năng lực; quy đổi sản lượng sang giá trị; dựng bảng 5 KPI.</t>
  </si>
  <si>
    <t xml:space="preserve">Nhiệm vụ</t>
  </si>
  <si>
    <t xml:space="preserve">Sheet</t>
  </si>
  <si>
    <t xml:space="preserve">Việc cần làm</t>
  </si>
  <si>
    <t xml:space="preserve">Thời lượng</t>
  </si>
  <si>
    <t xml:space="preserve">Bai1_SS_ROP</t>
  </si>
  <si>
    <t xml:space="preserve">6 SKU của portfolio mẫu: σ từ 12 sai số ngoài mẫu, z, SS, ROP, SS theo ngày bán, vốn SS.</t>
  </si>
  <si>
    <t xml:space="preserve">15'</t>
  </si>
  <si>
    <t xml:space="preserve">Bai2_DuongCong</t>
  </si>
  <si>
    <t xml:space="preserve">N01 GT: mức phục vụ 80%→99,5% — SS và vốn tăng thế nào?</t>
  </si>
  <si>
    <t xml:space="preserve">5'</t>
  </si>
  <si>
    <t xml:space="preserve">Bai3_CanhBaoSom</t>
  </si>
  <si>
    <t xml:space="preserve">14 ngày đầu tháng 10/2026: tốc độ bán so với số đồng thuận đã khóa; gắn cờ ±15%.</t>
  </si>
  <si>
    <t xml:space="preserve">10'</t>
  </si>
  <si>
    <t xml:space="preserve">Bai4_HanDung</t>
  </si>
  <si>
    <t xml:space="preserve">Tồn kho theo lô 30/09/2026: lô nào không bán kịp trước ngưỡng 2/3 hạn dùng của kênh MT?</t>
  </si>
  <si>
    <t xml:space="preserve">Bai5_NangLuc</t>
  </si>
  <si>
    <t xml:space="preserve">Tháng 11/2026 dây chuyền mì gói bảo trì: thiếu bao nhiêu, sản xuất trước tháng 10 được bao nhiêu, phần còn thiếu trị giá bao nhiêu?</t>
  </si>
  <si>
    <t xml:space="preserve">Bai6_KPI</t>
  </si>
  <si>
    <t xml:space="preserve">Bảng 5 KPI cho cuộc họp S&amp;OP — lấy số từ các sheet trên và từ Buổi 8.</t>
  </si>
  <si>
    <t xml:space="preserve">Dữ liệu</t>
  </si>
  <si>
    <t xml:space="preserve">Portfolio mẫu P0: N01 GT, N03 GT, S01 GT, B01 GT, S05 GT, K01 MT. in_month_tracking, inventory_snapshot, capacity, sku_master.</t>
  </si>
  <si>
    <t xml:space="preserve">Quy ước màu</t>
  </si>
  <si>
    <t xml:space="preserve">Ví dụ 123</t>
  </si>
  <si>
    <t xml:space="preserve">Ô nhiệm vụ: học viên điền công thức (rê chuột xem gợi ý trong comment)</t>
  </si>
  <si>
    <t xml:space="preserve">Chữ xanh dương trên nền vàng: tham số/giả định có thể thay đổi</t>
  </si>
  <si>
    <t xml:space="preserve">Nền xanh nhạt: công thức đáp án (chỉ có ở bản đáp án)</t>
  </si>
  <si>
    <t xml:space="preserve">Chữ xanh lá: liên kết từ sheet khác</t>
  </si>
  <si>
    <t xml:space="preserve">Ghi chú</t>
  </si>
  <si>
    <t xml:space="preserve">σ (sigma) = RMSE của dự báo 1 bước cuốn chiếu trong 12 tháng cuối — tức sai số mà kho thực sự phải 'đỡ'.</t>
  </si>
  <si>
    <t xml:space="preserve">Lead time tuần → tháng: chia 4,33. Mức phục vụ ở đây là cycle service level (xác suất không hết hàng trong một chu kỳ).</t>
  </si>
  <si>
    <t xml:space="preserve">Hàm z: NORMSINV(mức phục vụ). Excel mới có NORM.S.INV — kết quả như nhau.</t>
  </si>
  <si>
    <t xml:space="preserve">Quy ước toàn khóa: e = Actual − Forecast (e &gt; 0: dự báo thấp). Tiền: nghìn đồng nếu không ghi khác. Dữ liệu Mekong Bloom Foods là công ty GIẢ ĐỊNH phục vụ giảng dạy.</t>
  </si>
  <si>
    <t xml:space="preserve">Bài 1 · Safety Stock &amp; ROP</t>
  </si>
  <si>
    <t xml:space="preserve">Cột C–N: 12 sai số dự báo 1 bước (10/2025–09/2026, e = thực tế − dự báo) của phương pháp đã chọn. Cột O–X: nhiệm vụ.</t>
  </si>
  <si>
    <t xml:space="preserve">Chuỗi</t>
  </si>
  <si>
    <t xml:space="preserve">Phương pháp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</si>
  <si>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</si>
  <si>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</si>
  <si>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</si>
  <si>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</si>
  <si>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</si>
  <si>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</si>
  <si>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</si>
  <si>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</si>
  <si>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</si>
  <si>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</si>
  <si>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</si>
  <si>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</si>
  <si>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σ sai số (RMSE)</t>
  </si>
  <si>
    <t xml:space="preserve">SD nhu cầu 12T</t>
  </si>
  <si>
    <t xml:space="preserve">Dự báo T10</t>
  </si>
  <si>
    <t xml:space="preserve">Lead time (tuần)</t>
  </si>
  <si>
    <t xml:space="preserve">L (tháng)</t>
  </si>
  <si>
    <t xml:space="preserve">SS (σ sai số)</t>
  </si>
  <si>
    <t xml:space="preserve">SS (SD nhu cầu)</t>
  </si>
  <si>
    <t xml:space="preserve">ROP</t>
  </si>
  <si>
    <t xml:space="preserve">SS (ngày bán)</t>
  </si>
  <si>
    <t xml:space="preserve">Vốn SS (tr.đ)</t>
  </si>
  <si>
    <t xml:space="preserve">Tham số</t>
  </si>
  <si>
    <t xml:space="preserve">Giá trị</t>
  </si>
  <si>
    <t xml:space="preserve">N01|GT</t>
  </si>
  <si>
    <t xml:space="preserve">SES</t>
  </si>
  <si>
    <t xml:space="preserve">Mức phục vụ mục tiêu</t>
  </si>
  <si>
    <t xml:space="preserve">N03|GT</t>
  </si>
  <si>
    <t xml:space="preserve">Holt tắt dần</t>
  </si>
  <si>
    <t xml:space="preserve">Tuần / tháng</t>
  </si>
  <si>
    <t xml:space="preserve">S01|GT</t>
  </si>
  <si>
    <t xml:space="preserve">Seasonal Naive</t>
  </si>
  <si>
    <t xml:space="preserve">z = NORMSINV(mức phục vụ)</t>
  </si>
  <si>
    <t xml:space="preserve">B01|GT</t>
  </si>
  <si>
    <t xml:space="preserve">Holt-Winters nhân</t>
  </si>
  <si>
    <t xml:space="preserve">S05|GT</t>
  </si>
  <si>
    <t xml:space="preserve">K01|MT</t>
  </si>
  <si>
    <t xml:space="preserve">Câu hỏi: B01 (mùa hè) — SS theo SD nhu cầu gấp mấy lần SS theo σ sai số? Vì sao? (SD nhu cầu chứa cả MÙA VỤ — phần đã dự báo được, kho không cần 'đỡ'.)</t>
  </si>
  <si>
    <t xml:space="preserve">σ cột P (SD nhu cầu) và dự báo T10 cột Q được tính sẵn bằng Python (dpkit) để tiết kiệm thời gian.</t>
  </si>
  <si>
    <t xml:space="preserve">Bài 2 · Mức phục vụ – vốn tồn kho (N01 GT)</t>
  </si>
  <si>
    <t xml:space="preserve">σ và L lấy từ Bài 1. Chi phí giữ hàng 20%/năm giá vốn.</t>
  </si>
  <si>
    <t xml:space="preserve">σ sai số</t>
  </si>
  <si>
    <t xml:space="preserve">Giá vốn (nghìn đ)</t>
  </si>
  <si>
    <t xml:space="preserve">Chi phí giữ hàng/năm</t>
  </si>
  <si>
    <t xml:space="preserve">Mức phục vụ</t>
  </si>
  <si>
    <t xml:space="preserve">z</t>
  </si>
  <si>
    <t xml:space="preserve">SS (thùng)</t>
  </si>
  <si>
    <t xml:space="preserve">Chi phí giữ/năm (tr.đ)</t>
  </si>
  <si>
    <t xml:space="preserve">Từ 95% lên 99%: SS tăng bao nhiêu %? Ai quyết định mức phục vụ — Demand Planner hay ban lãnh đạo/S&amp;OP?</t>
  </si>
  <si>
    <t xml:space="preserve">Bài 3 · Cảnh báo sớm trong tháng 10/2026 (đến hết ngày 14)</t>
  </si>
  <si>
    <t xml:space="preserve">Kỳ vọng đến ngày 14 = số đồng thuận tháng × 14/31. Tỷ lệ = thực tế / kỳ vọng.</t>
  </si>
  <si>
    <t xml:space="preserve">SKU</t>
  </si>
  <si>
    <t xml:space="preserve">Kênh</t>
  </si>
  <si>
    <t xml:space="preserve">Đồng thuận T10</t>
  </si>
  <si>
    <t xml:space="preserve">Bán 14 ngày</t>
  </si>
  <si>
    <t xml:space="preserve">Kỳ vọng 14 ngày</t>
  </si>
  <si>
    <t xml:space="preserve">Tỷ lệ</t>
  </si>
  <si>
    <t xml:space="preserve">Ước cả tháng</t>
  </si>
  <si>
    <t xml:space="preserve">Cảnh báo</t>
  </si>
  <si>
    <t xml:space="preserve">B01</t>
  </si>
  <si>
    <t xml:space="preserve">GT</t>
  </si>
  <si>
    <t xml:space="preserve">Số ngày đã qua</t>
  </si>
  <si>
    <t xml:space="preserve">MT</t>
  </si>
  <si>
    <t xml:space="preserve">Số ngày trong tháng</t>
  </si>
  <si>
    <t xml:space="preserve">B02</t>
  </si>
  <si>
    <t xml:space="preserve">Ngưỡng cảnh báo ±</t>
  </si>
  <si>
    <t xml:space="preserve">B03</t>
  </si>
  <si>
    <t xml:space="preserve">Số chuỗi bị gắn cờ</t>
  </si>
  <si>
    <t xml:space="preserve">B04</t>
  </si>
  <si>
    <t xml:space="preserve">Việc tiếp theo cho mỗi cờ: xác minh nguyên nhân (thời tiết, đối thủ, KM chưa báo),</t>
  </si>
  <si>
    <t xml:space="preserve">B05</t>
  </si>
  <si>
    <t xml:space="preserve">báo người phụ trách trong 24 giờ, quyết định: điều chuyển kênh, tăng/giảm lệnh sản xuất, sửa forecast tháng sau.</t>
  </si>
  <si>
    <t xml:space="preserve">Mã nhỏ (H02, K02) dễ bị gắn cờ vì ngẫu nhiên — nên đặt ngưỡng theo nhóm ABC.</t>
  </si>
  <si>
    <t xml:space="preserve">H01</t>
  </si>
  <si>
    <t xml:space="preserve">H02</t>
  </si>
  <si>
    <t xml:space="preserve">H03</t>
  </si>
  <si>
    <t xml:space="preserve">K01</t>
  </si>
  <si>
    <t xml:space="preserve">K02</t>
  </si>
  <si>
    <t xml:space="preserve">K03</t>
  </si>
  <si>
    <t xml:space="preserve">K04</t>
  </si>
  <si>
    <t xml:space="preserve">N01</t>
  </si>
  <si>
    <t xml:space="preserve">N02</t>
  </si>
  <si>
    <t xml:space="preserve">N03</t>
  </si>
  <si>
    <t xml:space="preserve">N04</t>
  </si>
  <si>
    <t xml:space="preserve">N05</t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</si>
  <si>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</si>
  <si>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</si>
  <si>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</si>
  <si>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</si>
  <si>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</si>
  <si>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S06N</t>
  </si>
  <si>
    <t xml:space="preserve">Bài 4 · Rủi ro hạn sử dụng theo lô (FEFO) — tồn kho 30/09/2026</t>
  </si>
  <si>
    <t xml:space="preserve">Kênh MT chỉ nhận hàng còn ≥ 2/3 hạn dùng. Ngày còn bán được cho MT = Ngày còn lại − (1 − 2/3) × Hạn dùng.</t>
  </si>
  <si>
    <t xml:space="preserve">Lô</t>
  </si>
  <si>
    <t xml:space="preserve">Số lượng</t>
  </si>
  <si>
    <t xml:space="preserve">Ngày còn lại</t>
  </si>
  <si>
    <t xml:space="preserve">Hạn dùng</t>
  </si>
  <si>
    <t xml:space="preserve">Bán/ngày</t>
  </si>
  <si>
    <t xml:space="preserve">Ngày bán hết lô (lũy kế)</t>
  </si>
  <si>
    <t xml:space="preserve">Ngày còn bán được</t>
  </si>
  <si>
    <t xml:space="preserve">Rủi ro</t>
  </si>
  <si>
    <t xml:space="preserve">Giá trị rủi ro (tr.đ)</t>
  </si>
  <si>
    <t xml:space="preserve">B01-260304</t>
  </si>
  <si>
    <t xml:space="preserve">Ngưỡng hạn dùng tối thiểu khi giao</t>
  </si>
  <si>
    <t xml:space="preserve">B01-260830</t>
  </si>
  <si>
    <t xml:space="preserve">B01-260901</t>
  </si>
  <si>
    <t xml:space="preserve">Tổng giá trị tồn có rủi ro (tr.đ)</t>
  </si>
  <si>
    <t xml:space="preserve">B02-260417</t>
  </si>
  <si>
    <t xml:space="preserve">B02-260709</t>
  </si>
  <si>
    <t xml:space="preserve">Phương án: chuyển lô cận date sang kênh GT/HoReCa, khuyến mãi xả hàng, bán nội bộ, hoặc hủy.</t>
  </si>
  <si>
    <t xml:space="preserve">B02-260914</t>
  </si>
  <si>
    <t xml:space="preserve">B01 vừa có lô cận date vừa đang bán chậm (Bài 3) → ưu tiên xử lý ngay.</t>
  </si>
  <si>
    <t xml:space="preserve">B03-260619</t>
  </si>
  <si>
    <t xml:space="preserve">B03-260830</t>
  </si>
  <si>
    <t xml:space="preserve">B03-260912</t>
  </si>
  <si>
    <t xml:space="preserve">B04-260101</t>
  </si>
  <si>
    <t xml:space="preserve">B04-260225</t>
  </si>
  <si>
    <t xml:space="preserve">B04-260911</t>
  </si>
  <si>
    <t xml:space="preserve">B05-260713</t>
  </si>
  <si>
    <t xml:space="preserve">B05-260808</t>
  </si>
  <si>
    <t xml:space="preserve">B05-260912</t>
  </si>
  <si>
    <t xml:space="preserve">H01-260420</t>
  </si>
  <si>
    <t xml:space="preserve">H01-260720</t>
  </si>
  <si>
    <t xml:space="preserve">H01-260828</t>
  </si>
  <si>
    <t xml:space="preserve">H02-251208</t>
  </si>
  <si>
    <t xml:space="preserve">H02-260114</t>
  </si>
  <si>
    <t xml:space="preserve">H02-260924</t>
  </si>
  <si>
    <t xml:space="preserve">H03-260630</t>
  </si>
  <si>
    <t xml:space="preserve">H03-260729</t>
  </si>
  <si>
    <t xml:space="preserve">H03-260823</t>
  </si>
  <si>
    <t xml:space="preserve">K01-260529</t>
  </si>
  <si>
    <t xml:space="preserve">K01-260825</t>
  </si>
  <si>
    <t xml:space="preserve">K01-260908</t>
  </si>
  <si>
    <t xml:space="preserve">K02-260804</t>
  </si>
  <si>
    <t xml:space="preserve">K02-260814</t>
  </si>
  <si>
    <t xml:space="preserve">K02-260920</t>
  </si>
  <si>
    <t xml:space="preserve">K03-260526</t>
  </si>
  <si>
    <t xml:space="preserve">K03-260720</t>
  </si>
  <si>
    <t xml:space="preserve">K03-260903</t>
  </si>
  <si>
    <t xml:space="preserve">N01-260819</t>
  </si>
  <si>
    <t xml:space="preserve">N01-260901</t>
  </si>
  <si>
    <t xml:space="preserve">N01-260906</t>
  </si>
  <si>
    <t xml:space="preserve">N02-260727</t>
  </si>
  <si>
    <t xml:space="preserve">N02-260823</t>
  </si>
  <si>
    <t xml:space="preserve">N02-260827</t>
  </si>
  <si>
    <t xml:space="preserve">N03-260723</t>
  </si>
  <si>
    <t xml:space="preserve">N03-260802</t>
  </si>
  <si>
    <t xml:space="preserve">N03-260827</t>
  </si>
  <si>
    <t xml:space="preserve">N04-260725</t>
  </si>
  <si>
    <t xml:space="preserve">N04-260902</t>
  </si>
  <si>
    <t xml:space="preserve">N04-260904</t>
  </si>
  <si>
    <t xml:space="preserve">N05-260729</t>
  </si>
  <si>
    <t xml:space="preserve">N05-260815</t>
  </si>
  <si>
    <t xml:space="preserve">N05-260823</t>
  </si>
  <si>
    <t xml:space="preserve">S01-260128</t>
  </si>
  <si>
    <t xml:space="preserve">S01-260720</t>
  </si>
  <si>
    <t xml:space="preserve">S01-260923</t>
  </si>
  <si>
    <t xml:space="preserve">S02-260703</t>
  </si>
  <si>
    <t xml:space="preserve">S02-260907</t>
  </si>
  <si>
    <t xml:space="preserve">S02-260912</t>
  </si>
  <si>
    <t xml:space="preserve">S03-251220</t>
  </si>
  <si>
    <t xml:space="preserve">S03-260911</t>
  </si>
  <si>
    <t xml:space="preserve">S03-260919</t>
  </si>
  <si>
    <t xml:space="preserve">S04-260410</t>
  </si>
  <si>
    <t xml:space="preserve">S04-260804</t>
  </si>
  <si>
    <t xml:space="preserve">S04-260912</t>
  </si>
  <si>
    <t xml:space="preserve">S05-260624</t>
  </si>
  <si>
    <t xml:space="preserve">S05-260724</t>
  </si>
  <si>
    <t xml:space="preserve">S05-260918</t>
  </si>
  <si>
    <t xml:space="preserve">S06N-260524</t>
  </si>
  <si>
    <t xml:space="preserve">S06N-260806</t>
  </si>
  <si>
    <t xml:space="preserve">S06N-260923</t>
  </si>
  <si>
    <t xml:space="preserve">Bài 5 · Nhu cầu chưa giới hạn vs năng lực — dây chuyền mì gói</t>
  </si>
  <si>
    <t xml:space="preserve">Dự báo SES cho từng SKU × kênh (tính sẵn). Tháng 11/2026 bảo trì: chỉ còn 20 ngày chạy máy.</t>
  </si>
  <si>
    <t xml:space="preserve">10/2026</t>
  </si>
  <si>
    <t xml:space="preserve">11/2026</t>
  </si>
  <si>
    <t xml:space="preserve">Câu hỏi S&amp;OP</t>
  </si>
  <si>
    <t xml:space="preserve">N01 GT</t>
  </si>
  <si>
    <t xml:space="preserve">1. Số nào ghi vào kế hoạch nhu cầu: chưa giới hạn hay đã giới hạn? (Cả hai — tách bạch.)</t>
  </si>
  <si>
    <t xml:space="preserve">N01 MT</t>
  </si>
  <si>
    <t xml:space="preserve">2. Nếu vẫn thiếu: ưu tiên kênh nào (MT phạt giao thiếu?), SKU nào (lãi gộp?)</t>
  </si>
  <si>
    <t xml:space="preserve">N02 GT</t>
  </si>
  <si>
    <t xml:space="preserve">3. Hạn dùng mì 180 ngày: sản xuất trước 1 tháng có rủi ro gì?</t>
  </si>
  <si>
    <t xml:space="preserve">N02 MT</t>
  </si>
  <si>
    <t xml:space="preserve">4. Ai quyết định: Demand Planner đề xuất phương án, Supply Review đánh giá, Executive S&amp;OP chốt.</t>
  </si>
  <si>
    <t xml:space="preserve">N04 GT</t>
  </si>
  <si>
    <t xml:space="preserve">N04 MT</t>
  </si>
  <si>
    <t xml:space="preserve">N05 GT</t>
  </si>
  <si>
    <t xml:space="preserve">N05 MT</t>
  </si>
  <si>
    <t xml:space="preserve">Tổng nhu cầu chưa giới hạn</t>
  </si>
  <si>
    <t xml:space="preserve">Năng lực thường</t>
  </si>
  <si>
    <t xml:space="preserve">Năng lực tăng ca</t>
  </si>
  <si>
    <t xml:space="preserve">Năng lực tối đa</t>
  </si>
  <si>
    <t xml:space="preserve">Dư (+) / thiếu (−)</t>
  </si>
  <si>
    <t xml:space="preserve">Sản xuất trước trong tháng 10 (tối đa = phần dư T10)</t>
  </si>
  <si>
    <t xml:space="preserve">Còn thiếu sau khi sản xuất trước</t>
  </si>
  <si>
    <t xml:space="preserve">Giá trị doanh thu có rủi ro (tr.đ, giá N01)</t>
  </si>
  <si>
    <t xml:space="preserve">Bài 6 · Bảng 5 KPI cho họp S&amp;OP tháng 10/2026</t>
  </si>
  <si>
    <t xml:space="preserve">Mỗi KPI: giá trị, mục tiêu, và một câu 'vậy thì sao'.</t>
  </si>
  <si>
    <t xml:space="preserve">KPI</t>
  </si>
  <si>
    <t xml:space="preserve">Vậy thì sao?</t>
  </si>
  <si>
    <t xml:space="preserve">Độ chính xác dự báo đồng thuận (1 − WMAPE, lag-1)</t>
  </si>
  <si>
    <t xml:space="preserve">Từ Buổi 8: WMAPE đồng thuận ≈ 18% → accuracy ≈ 82%</t>
  </si>
  <si>
    <t xml:space="preserve">Bias đồng thuận (Σ dự báo / Σ thực tế − 1)</t>
  </si>
  <si>
    <t xml:space="preserve">Dương = dự báo cao → tồn kho</t>
  </si>
  <si>
    <t xml:space="preserve">Số chuỗi có cảnh báo sớm tháng 10</t>
  </si>
  <si>
    <t xml:space="preserve">Cần hành động trong tuần</t>
  </si>
  <si>
    <t xml:space="preserve">Giá trị tồn có rủi ro hạn dùng (tr.đ)</t>
  </si>
  <si>
    <t xml:space="preserve">Chuyển kênh / xả hàng</t>
  </si>
  <si>
    <t xml:space="preserve">Thiếu năng lực mì gói 11/2026 sau sản xuất trước (thùng)</t>
  </si>
  <si>
    <t xml:space="preserve">Đưa lên Executive S&amp;OP nếu &gt; 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</si>
</sst>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"/>
    <numFmt numFmtId="167" formatCode="0.0"/>
    <numFmt numFmtId="168" formatCode="0.0%"/>
    <numFmt numFmtId="169" formatCode="0.000"/>
    <numFmt numFmtId="170" formatCode="0%"/>
    <numFmt numFmtId="171" formatCode="#,##0.0"/>
    <numFmt numFmtId="172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421"/>
      <name val="Arial"/>
      <family val="0"/>
      <charset val="1"/>
    </font>
    <font>
      <i val="true"/>
      <sz val="9"/>
      <color rgb="FF76777B"/>
      <name val="Arial"/>
      <family val="0"/>
      <charset val="1"/>
    </font>
    <font>
      <b val="true"/>
      <sz val="11"/>
      <color rgb="FF01AE4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1AE42"/>
        <bgColor rgb="FF008080"/>
      </patternFill>
    </fill>
    <fill>
      <patternFill patternType="solid">
        <fgColor rgb="FFFFF2CC"/>
        <bgColor rgb="FFEAF7EF"/>
      </patternFill>
    </fill>
    <fill>
      <patternFill patternType="solid">
        <fgColor rgb="FFEAF7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0"/>
      </left>
      <right style="thin">
        <color rgb="FFD0D4D0"/>
      </right>
      <top style="thin">
        <color rgb="FFD0D4D0"/>
      </top>
      <bottom style="thin">
        <color rgb="FFD0D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77B"/>
      <rgbColor rgb="FF9999FF"/>
      <rgbColor rgb="FF993366"/>
      <rgbColor rgb="FFFFF2CC"/>
      <rgbColor rgb="FFEAF7EF"/>
      <rgbColor rgb="FF660066"/>
      <rgbColor rgb="FFFF8080"/>
      <rgbColor rgb="FF0066CC"/>
      <rgbColor rgb="FFD0D4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1AE42"/>
      <rgbColor rgb="FF003300"/>
      <rgbColor rgb="FF333300"/>
      <rgbColor rgb="FF993300"/>
      <rgbColor rgb="FF993366"/>
      <rgbColor rgb="FF333399"/>
      <rgbColor rgb="FF1F24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1076040</xdr:colOff>
      <xdr:row>0</xdr:row>
      <xdr:rowOff>361440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81880" y="0"/>
          <a:ext cx="1076040" cy="361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16"/>
  </cols>
  <sheetData>
    <row r="1" customFormat="false" ht="33.75" hidden="false" customHeight="true" outlineLevel="0" collapsed="false"/>
    <row r="3" customFormat="false" ht="19.7" hidden="false" customHeight="false" outlineLevel="0" collapsed="false">
      <c r="B3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23.85" hidden="false" customHeight="false" outlineLevel="0" collapsed="false">
      <c r="B7" s="4" t="s">
        <v>3</v>
      </c>
      <c r="C7" s="5" t="s">
        <v>4</v>
      </c>
    </row>
    <row r="8" customFormat="false" ht="23.85" hidden="false" customHeight="false" outlineLevel="0" collapsed="false">
      <c r="B8" s="4" t="s">
        <v>3</v>
      </c>
      <c r="C8" s="5" t="s">
        <v>5</v>
      </c>
    </row>
    <row r="9" customFormat="false" ht="23.85" hidden="false" customHeight="false" outlineLevel="0" collapsed="false">
      <c r="B9" s="4" t="s">
        <v>3</v>
      </c>
      <c r="C9" s="5" t="s">
        <v>6</v>
      </c>
    </row>
    <row r="10" customFormat="false" ht="23.85" hidden="false" customHeight="false" outlineLevel="0" collapsed="false">
      <c r="B10" s="4" t="s">
        <v>3</v>
      </c>
      <c r="C10" s="5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6" t="s">
        <v>9</v>
      </c>
      <c r="C13" s="6" t="s">
        <v>10</v>
      </c>
      <c r="D13" s="6" t="s">
        <v>11</v>
      </c>
    </row>
    <row r="14" customFormat="false" ht="30" hidden="false" customHeight="true" outlineLevel="0" collapsed="false">
      <c r="B14" s="7" t="s">
        <v>12</v>
      </c>
      <c r="C14" s="8" t="s">
        <v>13</v>
      </c>
      <c r="D14" s="9" t="s">
        <v>14</v>
      </c>
    </row>
    <row r="15" customFormat="false" ht="15" hidden="false" customHeight="true" outlineLevel="0" collapsed="false">
      <c r="B15" s="7" t="s">
        <v>15</v>
      </c>
      <c r="C15" s="8" t="s">
        <v>16</v>
      </c>
      <c r="D15" s="9" t="s">
        <v>17</v>
      </c>
    </row>
    <row r="16" customFormat="false" ht="30" hidden="false" customHeight="true" outlineLevel="0" collapsed="false">
      <c r="B16" s="7" t="s">
        <v>18</v>
      </c>
      <c r="C16" s="8" t="s">
        <v>19</v>
      </c>
      <c r="D16" s="9" t="s">
        <v>20</v>
      </c>
    </row>
    <row r="17" customFormat="false" ht="30" hidden="false" customHeight="true" outlineLevel="0" collapsed="false">
      <c r="B17" s="7" t="s">
        <v>21</v>
      </c>
      <c r="C17" s="8" t="s">
        <v>22</v>
      </c>
      <c r="D17" s="9" t="s">
        <v>20</v>
      </c>
    </row>
    <row r="18" customFormat="false" ht="30" hidden="false" customHeight="true" outlineLevel="0" collapsed="false">
      <c r="B18" s="7" t="s">
        <v>23</v>
      </c>
      <c r="C18" s="8" t="s">
        <v>24</v>
      </c>
      <c r="D18" s="9" t="s">
        <v>20</v>
      </c>
    </row>
    <row r="19" customFormat="false" ht="15" hidden="false" customHeight="true" outlineLevel="0" collapsed="false">
      <c r="B19" s="7" t="s">
        <v>25</v>
      </c>
      <c r="C19" s="8" t="s">
        <v>26</v>
      </c>
      <c r="D19" s="9" t="s">
        <v>17</v>
      </c>
    </row>
    <row r="21" customFormat="false" ht="15" hidden="false" customHeight="false" outlineLevel="0" collapsed="false">
      <c r="B21" s="3" t="s">
        <v>27</v>
      </c>
    </row>
    <row r="22" customFormat="false" ht="30" hidden="false" customHeight="true" outlineLevel="0" collapsed="false">
      <c r="C22" s="5" t="s">
        <v>28</v>
      </c>
    </row>
    <row r="24" customFormat="false" ht="15" hidden="false" customHeight="false" outlineLevel="0" collapsed="false">
      <c r="B24" s="3" t="s">
        <v>29</v>
      </c>
    </row>
    <row r="25" customFormat="false" ht="15" hidden="false" customHeight="false" outlineLevel="0" collapsed="false">
      <c r="B25" s="10" t="s">
        <v>30</v>
      </c>
      <c r="C25" s="4" t="s">
        <v>31</v>
      </c>
    </row>
    <row r="26" customFormat="false" ht="15" hidden="false" customHeight="false" outlineLevel="0" collapsed="false">
      <c r="B26" s="11" t="s">
        <v>30</v>
      </c>
      <c r="C26" s="4" t="s">
        <v>32</v>
      </c>
    </row>
    <row r="27" customFormat="false" ht="15" hidden="false" customHeight="false" outlineLevel="0" collapsed="false">
      <c r="B27" s="12" t="s">
        <v>30</v>
      </c>
      <c r="C27" s="4" t="s">
        <v>33</v>
      </c>
    </row>
    <row r="28" customFormat="false" ht="15" hidden="false" customHeight="false" outlineLevel="0" collapsed="false">
      <c r="B28" s="13" t="s">
        <v>30</v>
      </c>
      <c r="C28" s="4" t="s">
        <v>34</v>
      </c>
    </row>
    <row r="30" customFormat="false" ht="15" hidden="false" customHeight="false" outlineLevel="0" collapsed="false">
      <c r="B30" s="3" t="s">
        <v>35</v>
      </c>
    </row>
    <row r="31" customFormat="false" ht="30" hidden="false" customHeight="true" outlineLevel="0" collapsed="false">
      <c r="B31" s="4" t="s">
        <v>3</v>
      </c>
      <c r="C31" s="5" t="s">
        <v>36</v>
      </c>
    </row>
    <row r="32" customFormat="false" ht="30" hidden="false" customHeight="true" outlineLevel="0" collapsed="false">
      <c r="B32" s="4" t="s">
        <v>3</v>
      </c>
      <c r="C32" s="5" t="s">
        <v>37</v>
      </c>
    </row>
    <row r="33" customFormat="false" ht="30" hidden="false" customHeight="true" outlineLevel="0" collapsed="false">
      <c r="B33" s="4" t="s">
        <v>3</v>
      </c>
      <c r="C33" s="5" t="s">
        <v>38</v>
      </c>
    </row>
    <row r="35" customFormat="false" ht="15" hidden="false" customHeight="false" outlineLevel="0" collapsed="false">
      <c r="B35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14" min="3" style="0" width="9"/>
    <col collapsed="false" customWidth="true" hidden="false" outlineLevel="0" max="17" min="15" style="0" width="10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3" min="20" style="0" width="10"/>
    <col collapsed="false" customWidth="true" hidden="false" outlineLevel="0" max="24" min="24" style="0" width="11"/>
    <col collapsed="false" customWidth="true" hidden="false" outlineLevel="0" max="25" min="25" style="0" width="3"/>
    <col collapsed="false" customWidth="true" hidden="false" outlineLevel="0" max="26" min="26" style="0" width="26"/>
    <col collapsed="false" customWidth="true" hidden="false" outlineLevel="0" max="28" min="28" style="0" width="3"/>
  </cols>
  <sheetData>
    <row r="1" customFormat="false" ht="30" hidden="false" customHeight="tru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36" hidden="false" customHeight="true" outlineLevel="0" collapsed="false">
      <c r="A4" s="6" t="s">
        <v>42</v>
      </c>
      <c r="B4" s="6" t="s">
        <v>43</v>
      </c>
      <c r="C4" s="6" t="s">
        <v>44</v>
      </c>
      <c r="D4" s="6" t="s">
        <v>45</v>
      </c>
      <c r="E4" s="6" t="s">
        <v>46</v>
      </c>
      <c r="F4" s="6" t="s">
        <v>47</v>
      </c>
      <c r="G4" s="6" t="s">
        <v>48</v>
      </c>
      <c r="H4" s="6" t="s">
        <v>49</v>
      </c>
      <c r="I4" s="6" t="s">
        <v>50</v>
      </c>
      <c r="J4" s="6" t="s">
        <v>51</v>
      </c>
      <c r="K4" s="6" t="s">
        <v>52</v>
      </c>
      <c r="L4" s="6" t="s">
        <v>53</v>
      </c>
      <c r="M4" s="6" t="s">
        <v>54</v>
      </c>
      <c r="N4" s="6" t="s">
        <v>55</v>
      </c>
      <c r="O4" s="6" t="s">
        <v>56</v>
      </c>
      <c r="P4" s="6" t="s">
        <v>57</v>
      </c>
      <c r="Q4" s="6" t="s">
        <v>58</v>
      </c>
      <c r="R4" s="6" t="s">
        <v>59</v>
      </c>
      <c r="S4" s="6" t="s">
        <v>60</v>
      </c>
      <c r="T4" s="6" t="s">
        <v>61</v>
      </c>
      <c r="U4" s="6" t="s">
        <v>62</v>
      </c>
      <c r="V4" s="6" t="s">
        <v>63</v>
      </c>
      <c r="W4" s="6" t="s">
        <v>64</v>
      </c>
      <c r="X4" s="6" t="s">
        <v>65</v>
      </c>
      <c r="Z4" s="14" t="s">
        <v>66</v>
      </c>
      <c r="AA4" s="14" t="s">
        <v>67</v>
      </c>
    </row>
    <row r="5" customFormat="false" ht="15" hidden="false" customHeight="false" outlineLevel="0" collapsed="false">
      <c r="A5" s="7" t="s">
        <v>68</v>
      </c>
      <c r="B5" s="15" t="s">
        <v>69</v>
      </c>
      <c r="C5" s="16" t="n">
        <v>-3194.46050921566</v>
      </c>
      <c r="D5" s="16" t="n">
        <v>-3695.72516479086</v>
      </c>
      <c r="E5" s="16" t="n">
        <v>-5887.22469392463</v>
      </c>
      <c r="F5" s="16" t="n">
        <v>10087.5769868</v>
      </c>
      <c r="G5" s="16" t="n">
        <v>-1449.37830542588</v>
      </c>
      <c r="H5" s="16" t="n">
        <v>-5676.62065639683</v>
      </c>
      <c r="I5" s="16" t="n">
        <v>-1219.8112845112</v>
      </c>
      <c r="J5" s="16" t="n">
        <v>1435.49627445185</v>
      </c>
      <c r="K5" s="16" t="n">
        <v>-1173.14530441001</v>
      </c>
      <c r="L5" s="16" t="n">
        <v>-1842.70943713941</v>
      </c>
      <c r="M5" s="16" t="n">
        <v>-1737.42822072907</v>
      </c>
      <c r="N5" s="16" t="n">
        <v>6189.15290737125</v>
      </c>
      <c r="O5" s="17"/>
      <c r="P5" s="18" t="n">
        <v>3555.30755606063</v>
      </c>
      <c r="Q5" s="18" t="n">
        <v>46590.95</v>
      </c>
      <c r="R5" s="15" t="n">
        <v>2</v>
      </c>
      <c r="S5" s="19"/>
      <c r="T5" s="17"/>
      <c r="U5" s="17"/>
      <c r="V5" s="17"/>
      <c r="W5" s="20"/>
      <c r="X5" s="17"/>
      <c r="Z5" s="15" t="s">
        <v>70</v>
      </c>
      <c r="AA5" s="21" t="n">
        <v>0.95</v>
      </c>
    </row>
    <row r="6" customFormat="false" ht="15" hidden="false" customHeight="false" outlineLevel="0" collapsed="false">
      <c r="A6" s="7" t="s">
        <v>71</v>
      </c>
      <c r="B6" s="15" t="s">
        <v>72</v>
      </c>
      <c r="C6" s="16" t="n">
        <v>876.239425754589</v>
      </c>
      <c r="D6" s="16" t="n">
        <v>-1098.9640354157</v>
      </c>
      <c r="E6" s="16" t="n">
        <v>836.195151203981</v>
      </c>
      <c r="F6" s="16" t="n">
        <v>970.262237517612</v>
      </c>
      <c r="G6" s="16" t="n">
        <v>-459.685846996652</v>
      </c>
      <c r="H6" s="16" t="n">
        <v>-1160.40104995088</v>
      </c>
      <c r="I6" s="16" t="n">
        <v>-1010.48952099485</v>
      </c>
      <c r="J6" s="16" t="n">
        <v>-478.170732160171</v>
      </c>
      <c r="K6" s="16" t="n">
        <v>587.254731815006</v>
      </c>
      <c r="L6" s="16" t="n">
        <v>1573.97312863168</v>
      </c>
      <c r="M6" s="16" t="n">
        <v>811.468731262224</v>
      </c>
      <c r="N6" s="16" t="n">
        <v>-441.844690289938</v>
      </c>
      <c r="O6" s="17"/>
      <c r="P6" s="18" t="n">
        <v>804.374305113778</v>
      </c>
      <c r="Q6" s="18" t="n">
        <v>8006.24</v>
      </c>
      <c r="R6" s="15" t="n">
        <v>2</v>
      </c>
      <c r="S6" s="19"/>
      <c r="T6" s="17"/>
      <c r="U6" s="17"/>
      <c r="V6" s="17"/>
      <c r="W6" s="20"/>
      <c r="X6" s="17"/>
      <c r="Z6" s="15" t="s">
        <v>73</v>
      </c>
      <c r="AA6" s="22" t="n">
        <v>4.33</v>
      </c>
    </row>
    <row r="7" customFormat="false" ht="15" hidden="false" customHeight="false" outlineLevel="0" collapsed="false">
      <c r="A7" s="7" t="s">
        <v>74</v>
      </c>
      <c r="B7" s="15" t="s">
        <v>75</v>
      </c>
      <c r="C7" s="16" t="n">
        <v>1994</v>
      </c>
      <c r="D7" s="16" t="n">
        <v>548</v>
      </c>
      <c r="E7" s="16" t="n">
        <v>-1412</v>
      </c>
      <c r="F7" s="16" t="n">
        <v>-1808</v>
      </c>
      <c r="G7" s="16" t="n">
        <v>3931</v>
      </c>
      <c r="H7" s="16" t="n">
        <v>-347</v>
      </c>
      <c r="I7" s="16" t="n">
        <v>127</v>
      </c>
      <c r="J7" s="16" t="n">
        <v>1243</v>
      </c>
      <c r="K7" s="16" t="n">
        <v>-56</v>
      </c>
      <c r="L7" s="16" t="n">
        <v>-4</v>
      </c>
      <c r="M7" s="16" t="n">
        <v>284</v>
      </c>
      <c r="N7" s="16" t="n">
        <v>578</v>
      </c>
      <c r="O7" s="17"/>
      <c r="P7" s="18" t="n">
        <v>1384.71404716795</v>
      </c>
      <c r="Q7" s="18" t="n">
        <v>10977</v>
      </c>
      <c r="R7" s="15" t="n">
        <v>3</v>
      </c>
      <c r="S7" s="19"/>
      <c r="T7" s="17"/>
      <c r="U7" s="17"/>
      <c r="V7" s="17"/>
      <c r="W7" s="20"/>
      <c r="X7" s="17"/>
      <c r="Z7" s="15" t="s">
        <v>76</v>
      </c>
      <c r="AA7" s="23"/>
    </row>
    <row r="8" customFormat="false" ht="15" hidden="false" customHeight="false" outlineLevel="0" collapsed="false">
      <c r="A8" s="7" t="s">
        <v>77</v>
      </c>
      <c r="B8" s="15" t="s">
        <v>78</v>
      </c>
      <c r="C8" s="16" t="n">
        <v>788.386653962603</v>
      </c>
      <c r="D8" s="16" t="n">
        <v>-1996.3509075238</v>
      </c>
      <c r="E8" s="16" t="n">
        <v>-3462.90846997967</v>
      </c>
      <c r="F8" s="16" t="n">
        <v>-693.174019242821</v>
      </c>
      <c r="G8" s="16" t="n">
        <v>-949.26023318115</v>
      </c>
      <c r="H8" s="16" t="n">
        <v>-1094.05825980508</v>
      </c>
      <c r="I8" s="16" t="n">
        <v>629.01945789465</v>
      </c>
      <c r="J8" s="16" t="n">
        <v>-730.693548591353</v>
      </c>
      <c r="K8" s="16" t="n">
        <v>194.795260053004</v>
      </c>
      <c r="L8" s="16" t="n">
        <v>-120.07303814001</v>
      </c>
      <c r="M8" s="16" t="n">
        <v>144.0169112976</v>
      </c>
      <c r="N8" s="16" t="n">
        <v>-2536.00274882515</v>
      </c>
      <c r="O8" s="17"/>
      <c r="P8" s="18" t="n">
        <v>4805.91636013425</v>
      </c>
      <c r="Q8" s="18" t="n">
        <v>12048.87</v>
      </c>
      <c r="R8" s="15" t="n">
        <v>3</v>
      </c>
      <c r="S8" s="19"/>
      <c r="T8" s="17"/>
      <c r="U8" s="17"/>
      <c r="V8" s="17"/>
      <c r="W8" s="20"/>
      <c r="X8" s="17"/>
    </row>
    <row r="9" customFormat="false" ht="15" hidden="false" customHeight="false" outlineLevel="0" collapsed="false">
      <c r="A9" s="7" t="s">
        <v>79</v>
      </c>
      <c r="B9" s="15" t="s">
        <v>69</v>
      </c>
      <c r="C9" s="16" t="n">
        <v>-429.173214553352</v>
      </c>
      <c r="D9" s="16" t="n">
        <v>87.9003413733985</v>
      </c>
      <c r="E9" s="16" t="n">
        <v>308.383353545781</v>
      </c>
      <c r="F9" s="16" t="n">
        <v>604.891682365028</v>
      </c>
      <c r="G9" s="16" t="n">
        <v>487.333854223085</v>
      </c>
      <c r="H9" s="16" t="n">
        <v>34.9435018014528</v>
      </c>
      <c r="I9" s="16" t="n">
        <v>92.6033803776718</v>
      </c>
      <c r="J9" s="16" t="n">
        <v>-224.903247282978</v>
      </c>
      <c r="K9" s="16" t="n">
        <v>-137.502682278087</v>
      </c>
      <c r="L9" s="16" t="n">
        <v>-75.2487535797927</v>
      </c>
      <c r="M9" s="16" t="n">
        <v>26.6612915525966</v>
      </c>
      <c r="N9" s="16" t="n">
        <v>342.414070143361</v>
      </c>
      <c r="O9" s="17"/>
      <c r="P9" s="18" t="n">
        <v>289.059747939397</v>
      </c>
      <c r="Q9" s="18" t="n">
        <v>2395.62</v>
      </c>
      <c r="R9" s="15" t="n">
        <v>4</v>
      </c>
      <c r="S9" s="19"/>
      <c r="T9" s="17"/>
      <c r="U9" s="17"/>
      <c r="V9" s="17"/>
      <c r="W9" s="20"/>
      <c r="X9" s="17"/>
    </row>
    <row r="10" customFormat="false" ht="15" hidden="false" customHeight="false" outlineLevel="0" collapsed="false">
      <c r="A10" s="7" t="s">
        <v>80</v>
      </c>
      <c r="B10" s="15" t="s">
        <v>69</v>
      </c>
      <c r="C10" s="16" t="n">
        <v>-1304.01322584054</v>
      </c>
      <c r="D10" s="16" t="n">
        <v>595.426089055823</v>
      </c>
      <c r="E10" s="16" t="n">
        <v>-969.317851637951</v>
      </c>
      <c r="F10" s="16" t="n">
        <v>399.654991817139</v>
      </c>
      <c r="G10" s="16" t="n">
        <v>195.603461530954</v>
      </c>
      <c r="H10" s="16" t="n">
        <v>1040.90220599685</v>
      </c>
      <c r="I10" s="16" t="n">
        <v>-1232.69643849888</v>
      </c>
      <c r="J10" s="16" t="n">
        <v>-567.16441981798</v>
      </c>
      <c r="K10" s="16" t="n">
        <v>-115.148447239856</v>
      </c>
      <c r="L10" s="16" t="n">
        <v>-168.235342682019</v>
      </c>
      <c r="M10" s="16" t="n">
        <v>1189.00557819547</v>
      </c>
      <c r="N10" s="16" t="n">
        <v>1048.89990401174</v>
      </c>
      <c r="O10" s="17"/>
      <c r="P10" s="18" t="n">
        <v>815.512048663385</v>
      </c>
      <c r="Q10" s="18" t="n">
        <v>5013.52</v>
      </c>
      <c r="R10" s="15" t="n">
        <v>3</v>
      </c>
      <c r="S10" s="19"/>
      <c r="T10" s="17"/>
      <c r="U10" s="17"/>
      <c r="V10" s="17"/>
      <c r="W10" s="20"/>
      <c r="X10" s="17"/>
    </row>
    <row r="12" customFormat="false" ht="15" hidden="false" customHeight="false" outlineLevel="0" collapsed="false">
      <c r="A12" s="2" t="s">
        <v>81</v>
      </c>
    </row>
    <row r="13" customFormat="false" ht="15" hidden="false" customHeight="false" outlineLevel="0" collapsed="false">
      <c r="A13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15" hidden="false" customHeight="false" outlineLevel="0" collapsed="false">
      <c r="A4" s="15" t="s">
        <v>85</v>
      </c>
      <c r="B4" s="24" t="n">
        <f aca="false">Bai1_SS_ROP!O5</f>
        <v>0</v>
      </c>
    </row>
    <row r="5" customFormat="false" ht="15" hidden="false" customHeight="false" outlineLevel="0" collapsed="false">
      <c r="A5" s="15" t="s">
        <v>60</v>
      </c>
      <c r="B5" s="25" t="n">
        <f aca="false">Bai1_SS_ROP!S5</f>
        <v>0</v>
      </c>
    </row>
    <row r="6" customFormat="false" ht="15" hidden="false" customHeight="false" outlineLevel="0" collapsed="false">
      <c r="A6" s="15" t="s">
        <v>86</v>
      </c>
      <c r="B6" s="11" t="n">
        <v>84</v>
      </c>
    </row>
    <row r="7" customFormat="false" ht="15" hidden="false" customHeight="false" outlineLevel="0" collapsed="false">
      <c r="A7" s="15" t="s">
        <v>87</v>
      </c>
      <c r="B7" s="26" t="n">
        <v>0.2</v>
      </c>
    </row>
    <row r="9" customFormat="false" ht="30" hidden="false" customHeight="true" outlineLevel="0" collapsed="false">
      <c r="A9" s="6" t="s">
        <v>88</v>
      </c>
      <c r="B9" s="6" t="s">
        <v>89</v>
      </c>
      <c r="C9" s="6" t="s">
        <v>90</v>
      </c>
      <c r="D9" s="6" t="s">
        <v>65</v>
      </c>
      <c r="E9" s="6" t="s">
        <v>91</v>
      </c>
    </row>
    <row r="10" customFormat="false" ht="15" hidden="false" customHeight="false" outlineLevel="0" collapsed="false">
      <c r="A10" s="21" t="n">
        <v>0.8</v>
      </c>
      <c r="B10" s="23"/>
      <c r="C10" s="17"/>
      <c r="D10" s="17"/>
      <c r="E10" s="27"/>
    </row>
    <row r="11" customFormat="false" ht="15" hidden="false" customHeight="false" outlineLevel="0" collapsed="false">
      <c r="A11" s="21" t="n">
        <v>0.85</v>
      </c>
      <c r="B11" s="23"/>
      <c r="C11" s="17"/>
      <c r="D11" s="17"/>
      <c r="E11" s="27"/>
    </row>
    <row r="12" customFormat="false" ht="15" hidden="false" customHeight="false" outlineLevel="0" collapsed="false">
      <c r="A12" s="21" t="n">
        <v>0.9</v>
      </c>
      <c r="B12" s="23"/>
      <c r="C12" s="17"/>
      <c r="D12" s="17"/>
      <c r="E12" s="27"/>
    </row>
    <row r="13" customFormat="false" ht="15" hidden="false" customHeight="false" outlineLevel="0" collapsed="false">
      <c r="A13" s="21" t="n">
        <v>0.95</v>
      </c>
      <c r="B13" s="23"/>
      <c r="C13" s="17"/>
      <c r="D13" s="17"/>
      <c r="E13" s="27"/>
    </row>
    <row r="14" customFormat="false" ht="15" hidden="false" customHeight="false" outlineLevel="0" collapsed="false">
      <c r="A14" s="21" t="n">
        <v>0.97</v>
      </c>
      <c r="B14" s="23"/>
      <c r="C14" s="17"/>
      <c r="D14" s="17"/>
      <c r="E14" s="27"/>
    </row>
    <row r="15" customFormat="false" ht="15" hidden="false" customHeight="false" outlineLevel="0" collapsed="false">
      <c r="A15" s="21" t="n">
        <v>0.98</v>
      </c>
      <c r="B15" s="23"/>
      <c r="C15" s="17"/>
      <c r="D15" s="17"/>
      <c r="E15" s="27"/>
    </row>
    <row r="16" customFormat="false" ht="15" hidden="false" customHeight="false" outlineLevel="0" collapsed="false">
      <c r="A16" s="21" t="n">
        <v>0.99</v>
      </c>
      <c r="B16" s="23"/>
      <c r="C16" s="17"/>
      <c r="D16" s="17"/>
      <c r="E16" s="27"/>
    </row>
    <row r="17" customFormat="false" ht="15" hidden="false" customHeight="false" outlineLevel="0" collapsed="false">
      <c r="A17" s="21" t="n">
        <v>0.995</v>
      </c>
      <c r="B17" s="23"/>
      <c r="C17" s="17"/>
      <c r="D17" s="17"/>
      <c r="E17" s="27"/>
    </row>
    <row r="19" customFormat="false" ht="15" hidden="false" customHeight="false" outlineLevel="0" collapsed="false">
      <c r="A19" s="2" t="s">
        <v>92</v>
      </c>
      <c r="E19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5" min="3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3"/>
    <col collapsed="false" customWidth="true" hidden="false" outlineLevel="0" max="10" min="10" style="0" width="24"/>
    <col collapsed="false" customWidth="true" hidden="false" outlineLevel="0" max="11" min="11" style="0" width="10"/>
  </cols>
  <sheetData>
    <row r="1" customFormat="false" ht="30" hidden="false" customHeight="tru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30" hidden="false" customHeight="true" outlineLevel="0" collapsed="false">
      <c r="A4" s="6" t="s">
        <v>95</v>
      </c>
      <c r="B4" s="6" t="s">
        <v>96</v>
      </c>
      <c r="C4" s="6" t="s">
        <v>97</v>
      </c>
      <c r="D4" s="6" t="s">
        <v>98</v>
      </c>
      <c r="E4" s="6" t="s">
        <v>99</v>
      </c>
      <c r="F4" s="6" t="s">
        <v>100</v>
      </c>
      <c r="G4" s="6" t="s">
        <v>101</v>
      </c>
      <c r="H4" s="6" t="s">
        <v>102</v>
      </c>
      <c r="J4" s="14" t="s">
        <v>66</v>
      </c>
      <c r="K4" s="14" t="s">
        <v>67</v>
      </c>
    </row>
    <row r="5" customFormat="false" ht="15" hidden="false" customHeight="false" outlineLevel="0" collapsed="false">
      <c r="A5" s="7" t="s">
        <v>103</v>
      </c>
      <c r="B5" s="15" t="s">
        <v>104</v>
      </c>
      <c r="C5" s="16" t="n">
        <v>13783</v>
      </c>
      <c r="D5" s="16" t="n">
        <v>4781</v>
      </c>
      <c r="E5" s="17"/>
      <c r="F5" s="28"/>
      <c r="G5" s="17"/>
      <c r="H5" s="10"/>
      <c r="J5" s="15" t="s">
        <v>105</v>
      </c>
      <c r="K5" s="29" t="n">
        <v>14</v>
      </c>
    </row>
    <row r="6" customFormat="false" ht="15" hidden="false" customHeight="false" outlineLevel="0" collapsed="false">
      <c r="A6" s="7" t="s">
        <v>103</v>
      </c>
      <c r="B6" s="15" t="s">
        <v>106</v>
      </c>
      <c r="C6" s="16" t="n">
        <v>7719</v>
      </c>
      <c r="D6" s="16" t="n">
        <v>2323</v>
      </c>
      <c r="E6" s="17"/>
      <c r="F6" s="28"/>
      <c r="G6" s="17"/>
      <c r="H6" s="10"/>
      <c r="J6" s="15" t="s">
        <v>107</v>
      </c>
      <c r="K6" s="29" t="n">
        <v>31</v>
      </c>
    </row>
    <row r="7" customFormat="false" ht="15" hidden="false" customHeight="false" outlineLevel="0" collapsed="false">
      <c r="A7" s="7" t="s">
        <v>108</v>
      </c>
      <c r="B7" s="15" t="s">
        <v>104</v>
      </c>
      <c r="C7" s="16" t="n">
        <v>7948</v>
      </c>
      <c r="D7" s="16" t="n">
        <v>3506</v>
      </c>
      <c r="E7" s="17"/>
      <c r="F7" s="28"/>
      <c r="G7" s="17"/>
      <c r="H7" s="10"/>
      <c r="J7" s="15" t="s">
        <v>109</v>
      </c>
      <c r="K7" s="26" t="n">
        <v>0.15</v>
      </c>
    </row>
    <row r="8" customFormat="false" ht="15" hidden="false" customHeight="false" outlineLevel="0" collapsed="false">
      <c r="A8" s="7" t="s">
        <v>108</v>
      </c>
      <c r="B8" s="15" t="s">
        <v>106</v>
      </c>
      <c r="C8" s="16" t="n">
        <v>4363</v>
      </c>
      <c r="D8" s="16" t="n">
        <v>1770</v>
      </c>
      <c r="E8" s="17"/>
      <c r="F8" s="28"/>
      <c r="G8" s="17"/>
      <c r="H8" s="10"/>
    </row>
    <row r="9" customFormat="false" ht="15" hidden="false" customHeight="false" outlineLevel="0" collapsed="false">
      <c r="A9" s="7" t="s">
        <v>110</v>
      </c>
      <c r="B9" s="15" t="s">
        <v>104</v>
      </c>
      <c r="C9" s="16" t="n">
        <v>4609</v>
      </c>
      <c r="D9" s="16" t="n">
        <v>2284</v>
      </c>
      <c r="E9" s="17"/>
      <c r="F9" s="28"/>
      <c r="G9" s="17"/>
      <c r="H9" s="10"/>
    </row>
    <row r="10" customFormat="false" ht="15" hidden="false" customHeight="false" outlineLevel="0" collapsed="false">
      <c r="A10" s="7" t="s">
        <v>110</v>
      </c>
      <c r="B10" s="15" t="s">
        <v>106</v>
      </c>
      <c r="C10" s="16" t="n">
        <v>3830</v>
      </c>
      <c r="D10" s="16" t="n">
        <v>1693</v>
      </c>
      <c r="E10" s="17"/>
      <c r="F10" s="28"/>
      <c r="G10" s="17"/>
      <c r="H10" s="10"/>
      <c r="J10" s="7" t="s">
        <v>111</v>
      </c>
      <c r="K10" s="30"/>
    </row>
    <row r="11" customFormat="false" ht="15" hidden="false" customHeight="false" outlineLevel="0" collapsed="false">
      <c r="A11" s="7" t="s">
        <v>112</v>
      </c>
      <c r="B11" s="15" t="s">
        <v>104</v>
      </c>
      <c r="C11" s="16" t="n">
        <v>1852</v>
      </c>
      <c r="D11" s="16" t="n">
        <v>982</v>
      </c>
      <c r="E11" s="17"/>
      <c r="F11" s="28"/>
      <c r="G11" s="17"/>
      <c r="H11" s="10"/>
    </row>
    <row r="12" customFormat="false" ht="15" hidden="false" customHeight="false" outlineLevel="0" collapsed="false">
      <c r="A12" s="7" t="s">
        <v>112</v>
      </c>
      <c r="B12" s="15" t="s">
        <v>106</v>
      </c>
      <c r="C12" s="16" t="n">
        <v>1923</v>
      </c>
      <c r="D12" s="16" t="n">
        <v>922</v>
      </c>
      <c r="E12" s="17"/>
      <c r="F12" s="28"/>
      <c r="G12" s="17"/>
      <c r="H12" s="10"/>
      <c r="J12" s="2" t="s">
        <v>113</v>
      </c>
    </row>
    <row r="13" customFormat="false" ht="15" hidden="false" customHeight="false" outlineLevel="0" collapsed="false">
      <c r="A13" s="7" t="s">
        <v>114</v>
      </c>
      <c r="B13" s="15" t="s">
        <v>104</v>
      </c>
      <c r="C13" s="16" t="n">
        <v>2167</v>
      </c>
      <c r="D13" s="16" t="n">
        <v>955</v>
      </c>
      <c r="E13" s="17"/>
      <c r="F13" s="28"/>
      <c r="G13" s="17"/>
      <c r="H13" s="10"/>
      <c r="J13" s="2" t="s">
        <v>115</v>
      </c>
    </row>
    <row r="14" customFormat="false" ht="15" hidden="false" customHeight="false" outlineLevel="0" collapsed="false">
      <c r="A14" s="7" t="s">
        <v>114</v>
      </c>
      <c r="B14" s="15" t="s">
        <v>106</v>
      </c>
      <c r="C14" s="16" t="n">
        <v>4051</v>
      </c>
      <c r="D14" s="16" t="n">
        <v>1762</v>
      </c>
      <c r="E14" s="17"/>
      <c r="F14" s="28"/>
      <c r="G14" s="17"/>
      <c r="H14" s="10"/>
      <c r="J14" s="2" t="s">
        <v>116</v>
      </c>
    </row>
    <row r="15" customFormat="false" ht="15" hidden="false" customHeight="false" outlineLevel="0" collapsed="false">
      <c r="A15" s="7" t="s">
        <v>117</v>
      </c>
      <c r="B15" s="15" t="s">
        <v>104</v>
      </c>
      <c r="C15" s="16" t="n">
        <v>454</v>
      </c>
      <c r="D15" s="16" t="n">
        <v>214</v>
      </c>
      <c r="E15" s="17"/>
      <c r="F15" s="28"/>
      <c r="G15" s="17"/>
      <c r="H15" s="10"/>
    </row>
    <row r="16" customFormat="false" ht="15" hidden="false" customHeight="false" outlineLevel="0" collapsed="false">
      <c r="A16" s="7" t="s">
        <v>118</v>
      </c>
      <c r="B16" s="15" t="s">
        <v>104</v>
      </c>
      <c r="C16" s="16" t="n">
        <v>340</v>
      </c>
      <c r="D16" s="16" t="n">
        <v>177</v>
      </c>
      <c r="E16" s="17"/>
      <c r="F16" s="28"/>
      <c r="G16" s="17"/>
      <c r="H16" s="10"/>
    </row>
    <row r="17" customFormat="false" ht="15" hidden="false" customHeight="false" outlineLevel="0" collapsed="false">
      <c r="A17" s="7" t="s">
        <v>119</v>
      </c>
      <c r="B17" s="15" t="s">
        <v>104</v>
      </c>
      <c r="C17" s="16" t="n">
        <v>0</v>
      </c>
      <c r="D17" s="16" t="n">
        <v>0</v>
      </c>
      <c r="E17" s="17"/>
      <c r="F17" s="28"/>
      <c r="G17" s="17"/>
      <c r="H17" s="10"/>
    </row>
    <row r="18" customFormat="false" ht="15" hidden="false" customHeight="false" outlineLevel="0" collapsed="false">
      <c r="A18" s="7" t="s">
        <v>120</v>
      </c>
      <c r="B18" s="15" t="s">
        <v>104</v>
      </c>
      <c r="C18" s="16" t="n">
        <v>3119</v>
      </c>
      <c r="D18" s="16" t="n">
        <v>1424</v>
      </c>
      <c r="E18" s="17"/>
      <c r="F18" s="28"/>
      <c r="G18" s="17"/>
      <c r="H18" s="10"/>
    </row>
    <row r="19" customFormat="false" ht="15" hidden="false" customHeight="false" outlineLevel="0" collapsed="false">
      <c r="A19" s="7" t="s">
        <v>120</v>
      </c>
      <c r="B19" s="15" t="s">
        <v>106</v>
      </c>
      <c r="C19" s="16" t="n">
        <v>4020</v>
      </c>
      <c r="D19" s="16" t="n">
        <v>2220</v>
      </c>
      <c r="E19" s="17"/>
      <c r="F19" s="28"/>
      <c r="G19" s="17"/>
      <c r="H19" s="10"/>
    </row>
    <row r="20" customFormat="false" ht="15" hidden="false" customHeight="false" outlineLevel="0" collapsed="false">
      <c r="A20" s="7" t="s">
        <v>121</v>
      </c>
      <c r="B20" s="15" t="s">
        <v>104</v>
      </c>
      <c r="C20" s="16" t="n">
        <v>569</v>
      </c>
      <c r="D20" s="16" t="n">
        <v>275</v>
      </c>
      <c r="E20" s="17"/>
      <c r="F20" s="28"/>
      <c r="G20" s="17"/>
      <c r="H20" s="10"/>
    </row>
    <row r="21" customFormat="false" ht="15" hidden="false" customHeight="false" outlineLevel="0" collapsed="false">
      <c r="A21" s="7" t="s">
        <v>121</v>
      </c>
      <c r="B21" s="15" t="s">
        <v>106</v>
      </c>
      <c r="C21" s="16" t="n">
        <v>451</v>
      </c>
      <c r="D21" s="16" t="n">
        <v>294</v>
      </c>
      <c r="E21" s="17"/>
      <c r="F21" s="28"/>
      <c r="G21" s="17"/>
      <c r="H21" s="10"/>
    </row>
    <row r="22" customFormat="false" ht="15" hidden="false" customHeight="false" outlineLevel="0" collapsed="false">
      <c r="A22" s="7" t="s">
        <v>122</v>
      </c>
      <c r="B22" s="15" t="s">
        <v>104</v>
      </c>
      <c r="C22" s="16" t="n">
        <v>520</v>
      </c>
      <c r="D22" s="16" t="n">
        <v>241</v>
      </c>
      <c r="E22" s="17"/>
      <c r="F22" s="28"/>
      <c r="G22" s="17"/>
      <c r="H22" s="10"/>
    </row>
    <row r="23" customFormat="false" ht="15" hidden="false" customHeight="false" outlineLevel="0" collapsed="false">
      <c r="A23" s="7" t="s">
        <v>122</v>
      </c>
      <c r="B23" s="15" t="s">
        <v>106</v>
      </c>
      <c r="C23" s="16" t="n">
        <v>437</v>
      </c>
      <c r="D23" s="16" t="n">
        <v>190</v>
      </c>
      <c r="E23" s="17"/>
      <c r="F23" s="28"/>
      <c r="G23" s="17"/>
      <c r="H23" s="10"/>
    </row>
    <row r="24" customFormat="false" ht="15" hidden="false" customHeight="false" outlineLevel="0" collapsed="false">
      <c r="A24" s="7" t="s">
        <v>123</v>
      </c>
      <c r="B24" s="15" t="s">
        <v>106</v>
      </c>
      <c r="C24" s="16" t="n">
        <v>0</v>
      </c>
      <c r="D24" s="16" t="n">
        <v>0</v>
      </c>
      <c r="E24" s="17"/>
      <c r="F24" s="28"/>
      <c r="G24" s="17"/>
      <c r="H24" s="10"/>
    </row>
    <row r="25" customFormat="false" ht="15" hidden="false" customHeight="false" outlineLevel="0" collapsed="false">
      <c r="A25" s="7" t="s">
        <v>124</v>
      </c>
      <c r="B25" s="15" t="s">
        <v>104</v>
      </c>
      <c r="C25" s="16" t="n">
        <v>42758</v>
      </c>
      <c r="D25" s="16" t="n">
        <v>22594</v>
      </c>
      <c r="E25" s="17"/>
      <c r="F25" s="28"/>
      <c r="G25" s="17"/>
      <c r="H25" s="10"/>
    </row>
    <row r="26" customFormat="false" ht="15" hidden="false" customHeight="false" outlineLevel="0" collapsed="false">
      <c r="A26" s="7" t="s">
        <v>124</v>
      </c>
      <c r="B26" s="15" t="s">
        <v>106</v>
      </c>
      <c r="C26" s="16" t="n">
        <v>12942</v>
      </c>
      <c r="D26" s="16" t="n">
        <v>5690</v>
      </c>
      <c r="E26" s="17"/>
      <c r="F26" s="28"/>
      <c r="G26" s="17"/>
      <c r="H26" s="10"/>
    </row>
    <row r="27" customFormat="false" ht="15" hidden="false" customHeight="false" outlineLevel="0" collapsed="false">
      <c r="A27" s="7" t="s">
        <v>125</v>
      </c>
      <c r="B27" s="15" t="s">
        <v>104</v>
      </c>
      <c r="C27" s="16" t="n">
        <v>16174</v>
      </c>
      <c r="D27" s="16" t="n">
        <v>6904</v>
      </c>
      <c r="E27" s="17"/>
      <c r="F27" s="28"/>
      <c r="G27" s="17"/>
      <c r="H27" s="10"/>
    </row>
    <row r="28" customFormat="false" ht="15" hidden="false" customHeight="false" outlineLevel="0" collapsed="false">
      <c r="A28" s="7" t="s">
        <v>125</v>
      </c>
      <c r="B28" s="15" t="s">
        <v>106</v>
      </c>
      <c r="C28" s="16" t="n">
        <v>8085</v>
      </c>
      <c r="D28" s="16" t="n">
        <v>3533</v>
      </c>
      <c r="E28" s="17"/>
      <c r="F28" s="28"/>
      <c r="G28" s="17"/>
      <c r="H28" s="10"/>
    </row>
    <row r="29" customFormat="false" ht="15" hidden="false" customHeight="false" outlineLevel="0" collapsed="false">
      <c r="A29" s="7" t="s">
        <v>126</v>
      </c>
      <c r="B29" s="15" t="s">
        <v>104</v>
      </c>
      <c r="C29" s="16" t="n">
        <v>8141</v>
      </c>
      <c r="D29" s="16" t="n">
        <v>3761</v>
      </c>
      <c r="E29" s="17"/>
      <c r="F29" s="28"/>
      <c r="G29" s="17"/>
      <c r="H29" s="10"/>
    </row>
    <row r="30" customFormat="false" ht="15" hidden="false" customHeight="false" outlineLevel="0" collapsed="false">
      <c r="A30" s="7" t="s">
        <v>126</v>
      </c>
      <c r="B30" s="15" t="s">
        <v>106</v>
      </c>
      <c r="C30" s="16" t="n">
        <v>9209</v>
      </c>
      <c r="D30" s="16" t="n">
        <v>3340</v>
      </c>
      <c r="E30" s="17"/>
      <c r="F30" s="28"/>
      <c r="G30" s="17"/>
      <c r="H30" s="10"/>
    </row>
    <row r="31" customFormat="false" ht="15" hidden="false" customHeight="false" outlineLevel="0" collapsed="false">
      <c r="A31" s="7" t="s">
        <v>127</v>
      </c>
      <c r="B31" s="15" t="s">
        <v>104</v>
      </c>
      <c r="C31" s="16" t="n">
        <v>3850</v>
      </c>
      <c r="D31" s="16" t="n">
        <v>1909</v>
      </c>
      <c r="E31" s="17"/>
      <c r="F31" s="28"/>
      <c r="G31" s="17"/>
      <c r="H31" s="10"/>
    </row>
    <row r="32" customFormat="false" ht="15" hidden="false" customHeight="false" outlineLevel="0" collapsed="false">
      <c r="A32" s="7" t="s">
        <v>127</v>
      </c>
      <c r="B32" s="15" t="s">
        <v>106</v>
      </c>
      <c r="C32" s="16" t="n">
        <v>2269</v>
      </c>
      <c r="D32" s="16" t="n">
        <v>910</v>
      </c>
      <c r="E32" s="17"/>
      <c r="F32" s="28"/>
      <c r="G32" s="17"/>
      <c r="H32" s="10"/>
    </row>
    <row r="33" customFormat="false" ht="15" hidden="false" customHeight="false" outlineLevel="0" collapsed="false">
      <c r="A33" s="7" t="s">
        <v>128</v>
      </c>
      <c r="B33" s="15" t="s">
        <v>104</v>
      </c>
      <c r="C33" s="16" t="n">
        <v>3638</v>
      </c>
      <c r="D33" s="16" t="n">
        <v>1624</v>
      </c>
      <c r="E33" s="17"/>
      <c r="F33" s="28"/>
      <c r="G33" s="17"/>
      <c r="H33" s="10"/>
    </row>
    <row r="34" customFormat="false" ht="15" hidden="false" customHeight="false" outlineLevel="0" collapsed="false">
      <c r="A34" s="7" t="s">
        <v>128</v>
      </c>
      <c r="B34" s="15" t="s">
        <v>106</v>
      </c>
      <c r="C34" s="16" t="n">
        <v>2858</v>
      </c>
      <c r="D34" s="16" t="n">
        <v>1424</v>
      </c>
      <c r="E34" s="17"/>
      <c r="F34" s="28"/>
      <c r="G34" s="17"/>
      <c r="H34" s="10"/>
    </row>
    <row r="35" customFormat="false" ht="15" hidden="false" customHeight="false" outlineLevel="0" collapsed="false">
      <c r="A35" s="7" t="s">
        <v>129</v>
      </c>
      <c r="B35" s="15" t="s">
        <v>104</v>
      </c>
      <c r="C35" s="16" t="n">
        <v>8974</v>
      </c>
      <c r="D35" s="16" t="n">
        <v>4069</v>
      </c>
      <c r="E35" s="17"/>
      <c r="F35" s="28"/>
      <c r="G35" s="17"/>
      <c r="H35" s="10"/>
    </row>
    <row r="36" customFormat="false" ht="15" hidden="false" customHeight="false" outlineLevel="0" collapsed="false">
      <c r="A36" s="7" t="s">
        <v>129</v>
      </c>
      <c r="B36" s="15" t="s">
        <v>106</v>
      </c>
      <c r="C36" s="16" t="n">
        <v>7274</v>
      </c>
      <c r="D36" s="16" t="n">
        <v>4606</v>
      </c>
      <c r="E36" s="17"/>
      <c r="F36" s="28"/>
      <c r="G36" s="17"/>
      <c r="H36" s="10"/>
    </row>
    <row r="37" customFormat="false" ht="15" hidden="false" customHeight="false" outlineLevel="0" collapsed="false">
      <c r="A37" s="7" t="s">
        <v>130</v>
      </c>
      <c r="B37" s="15" t="s">
        <v>104</v>
      </c>
      <c r="C37" s="16" t="n">
        <v>7312</v>
      </c>
      <c r="D37" s="16" t="n">
        <v>3473</v>
      </c>
      <c r="E37" s="17"/>
      <c r="F37" s="28"/>
      <c r="G37" s="17"/>
      <c r="H37" s="10"/>
    </row>
    <row r="38" customFormat="false" ht="15" hidden="false" customHeight="false" outlineLevel="0" collapsed="false">
      <c r="A38" s="7" t="s">
        <v>130</v>
      </c>
      <c r="B38" s="15" t="s">
        <v>106</v>
      </c>
      <c r="C38" s="16" t="n">
        <v>5742</v>
      </c>
      <c r="D38" s="16" t="n">
        <v>2668</v>
      </c>
      <c r="E38" s="17"/>
      <c r="F38" s="28"/>
      <c r="G38" s="17"/>
      <c r="H38" s="10"/>
    </row>
    <row r="39" customFormat="false" ht="15" hidden="false" customHeight="false" outlineLevel="0" collapsed="false">
      <c r="A39" s="7" t="s">
        <v>131</v>
      </c>
      <c r="B39" s="15" t="s">
        <v>104</v>
      </c>
      <c r="C39" s="16" t="n">
        <v>4221</v>
      </c>
      <c r="D39" s="16" t="n">
        <v>2076</v>
      </c>
      <c r="E39" s="17"/>
      <c r="F39" s="28"/>
      <c r="G39" s="17"/>
      <c r="H39" s="10"/>
    </row>
    <row r="40" customFormat="false" ht="15" hidden="false" customHeight="false" outlineLevel="0" collapsed="false">
      <c r="A40" s="7" t="s">
        <v>131</v>
      </c>
      <c r="B40" s="15" t="s">
        <v>106</v>
      </c>
      <c r="C40" s="16" t="n">
        <v>3036</v>
      </c>
      <c r="D40" s="16" t="n">
        <v>1349</v>
      </c>
      <c r="E40" s="17"/>
      <c r="F40" s="28"/>
      <c r="G40" s="17"/>
      <c r="H40" s="10"/>
    </row>
    <row r="41" customFormat="false" ht="15" hidden="false" customHeight="false" outlineLevel="0" collapsed="false">
      <c r="A41" s="7" t="s">
        <v>132</v>
      </c>
      <c r="B41" s="15" t="s">
        <v>104</v>
      </c>
      <c r="C41" s="16" t="n">
        <v>6535</v>
      </c>
      <c r="D41" s="16" t="n">
        <v>2518</v>
      </c>
      <c r="E41" s="17"/>
      <c r="F41" s="28"/>
      <c r="G41" s="17"/>
      <c r="H41" s="10"/>
    </row>
    <row r="42" customFormat="false" ht="15" hidden="false" customHeight="false" outlineLevel="0" collapsed="false">
      <c r="A42" s="7" t="s">
        <v>132</v>
      </c>
      <c r="B42" s="15" t="s">
        <v>106</v>
      </c>
      <c r="C42" s="16" t="n">
        <v>2392</v>
      </c>
      <c r="D42" s="16" t="n">
        <v>979</v>
      </c>
      <c r="E42" s="17"/>
      <c r="F42" s="28"/>
      <c r="G42" s="17"/>
      <c r="H42" s="10"/>
    </row>
    <row r="43" customFormat="false" ht="15" hidden="false" customHeight="false" outlineLevel="0" collapsed="false">
      <c r="A43" s="7" t="s">
        <v>133</v>
      </c>
      <c r="B43" s="15" t="s">
        <v>104</v>
      </c>
      <c r="C43" s="16" t="n">
        <v>2896</v>
      </c>
      <c r="D43" s="16" t="n">
        <v>1208</v>
      </c>
      <c r="E43" s="17"/>
      <c r="F43" s="28"/>
      <c r="G43" s="17"/>
      <c r="H43" s="10"/>
    </row>
    <row r="44" customFormat="false" ht="15" hidden="false" customHeight="false" outlineLevel="0" collapsed="false">
      <c r="A44" s="7" t="s">
        <v>133</v>
      </c>
      <c r="B44" s="15" t="s">
        <v>106</v>
      </c>
      <c r="C44" s="16" t="n">
        <v>1367</v>
      </c>
      <c r="D44" s="16" t="n">
        <v>595</v>
      </c>
      <c r="E44" s="17"/>
      <c r="F44" s="28"/>
      <c r="G44" s="17"/>
      <c r="H44" s="10"/>
    </row>
    <row r="45" customFormat="false" ht="15" hidden="false" customHeight="false" outlineLevel="0" collapsed="false">
      <c r="A45" s="7" t="s">
        <v>134</v>
      </c>
      <c r="B45" s="15" t="s">
        <v>104</v>
      </c>
      <c r="C45" s="16" t="n">
        <v>3706</v>
      </c>
      <c r="D45" s="16" t="n">
        <v>1671</v>
      </c>
      <c r="E45" s="17"/>
      <c r="F45" s="28"/>
      <c r="G45" s="17"/>
      <c r="H45" s="10"/>
    </row>
    <row r="46" customFormat="false" ht="15" hidden="false" customHeight="false" outlineLevel="0" collapsed="false">
      <c r="A46" s="7" t="s">
        <v>134</v>
      </c>
      <c r="B46" s="15" t="s">
        <v>106</v>
      </c>
      <c r="C46" s="16" t="n">
        <v>1605</v>
      </c>
      <c r="D46" s="16" t="n">
        <v>748</v>
      </c>
      <c r="E46" s="17"/>
      <c r="F46" s="28"/>
      <c r="G46" s="17"/>
      <c r="H46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6" min="5" style="0" width="9"/>
    <col collapsed="false" customWidth="true" hidden="false" outlineLevel="0" max="7" min="7" style="0" width="11"/>
    <col collapsed="false" customWidth="true" hidden="false" outlineLevel="0" max="10" min="8" style="0" width="12"/>
    <col collapsed="false" customWidth="true" hidden="false" outlineLevel="0" max="11" min="11" style="0" width="3"/>
    <col collapsed="false" customWidth="true" hidden="false" outlineLevel="0" max="12" min="12" style="0" width="30"/>
    <col collapsed="false" customWidth="true" hidden="false" outlineLevel="0" max="13" min="13" style="0" width="9"/>
  </cols>
  <sheetData>
    <row r="1" customFormat="false" ht="30" hidden="false" customHeight="true" outlineLevel="0" collapsed="false">
      <c r="A1" s="1" t="s">
        <v>135</v>
      </c>
    </row>
    <row r="2" customFormat="false" ht="15" hidden="false" customHeight="false" outlineLevel="0" collapsed="false">
      <c r="A2" s="2" t="s">
        <v>136</v>
      </c>
    </row>
    <row r="4" customFormat="false" ht="36" hidden="false" customHeight="true" outlineLevel="0" collapsed="false">
      <c r="A4" s="6" t="s">
        <v>95</v>
      </c>
      <c r="B4" s="6" t="s">
        <v>137</v>
      </c>
      <c r="C4" s="6" t="s">
        <v>138</v>
      </c>
      <c r="D4" s="6" t="s">
        <v>139</v>
      </c>
      <c r="E4" s="6" t="s">
        <v>140</v>
      </c>
      <c r="F4" s="6" t="s">
        <v>141</v>
      </c>
      <c r="G4" s="6" t="s">
        <v>142</v>
      </c>
      <c r="H4" s="6" t="s">
        <v>143</v>
      </c>
      <c r="I4" s="6" t="s">
        <v>144</v>
      </c>
      <c r="J4" s="6" t="s">
        <v>145</v>
      </c>
      <c r="L4" s="14" t="s">
        <v>66</v>
      </c>
      <c r="M4" s="14" t="s">
        <v>67</v>
      </c>
    </row>
    <row r="5" customFormat="false" ht="15" hidden="false" customHeight="false" outlineLevel="0" collapsed="false">
      <c r="A5" s="7" t="s">
        <v>103</v>
      </c>
      <c r="B5" s="15" t="s">
        <v>146</v>
      </c>
      <c r="C5" s="16" t="n">
        <v>13475</v>
      </c>
      <c r="D5" s="15" t="n">
        <v>60</v>
      </c>
      <c r="E5" s="15" t="n">
        <v>270</v>
      </c>
      <c r="F5" s="31" t="n">
        <v>854.1</v>
      </c>
      <c r="G5" s="20"/>
      <c r="H5" s="20"/>
      <c r="I5" s="10"/>
      <c r="J5" s="17"/>
      <c r="L5" s="15" t="s">
        <v>147</v>
      </c>
      <c r="M5" s="26" t="n">
        <v>0.67</v>
      </c>
    </row>
    <row r="6" customFormat="false" ht="15" hidden="false" customHeight="false" outlineLevel="0" collapsed="false">
      <c r="A6" s="7" t="s">
        <v>103</v>
      </c>
      <c r="B6" s="15" t="s">
        <v>148</v>
      </c>
      <c r="C6" s="16" t="n">
        <v>33688</v>
      </c>
      <c r="D6" s="15" t="n">
        <v>239</v>
      </c>
      <c r="E6" s="15" t="n">
        <v>270</v>
      </c>
      <c r="F6" s="31" t="n">
        <v>854.1</v>
      </c>
      <c r="G6" s="20"/>
      <c r="H6" s="20"/>
      <c r="I6" s="10"/>
      <c r="J6" s="17"/>
    </row>
    <row r="7" customFormat="false" ht="15" hidden="false" customHeight="false" outlineLevel="0" collapsed="false">
      <c r="A7" s="7" t="s">
        <v>103</v>
      </c>
      <c r="B7" s="15" t="s">
        <v>149</v>
      </c>
      <c r="C7" s="16" t="n">
        <v>20212</v>
      </c>
      <c r="D7" s="15" t="n">
        <v>241</v>
      </c>
      <c r="E7" s="15" t="n">
        <v>270</v>
      </c>
      <c r="F7" s="31" t="n">
        <v>854.1</v>
      </c>
      <c r="G7" s="20"/>
      <c r="H7" s="20"/>
      <c r="I7" s="10"/>
      <c r="J7" s="17"/>
      <c r="L7" s="7" t="s">
        <v>150</v>
      </c>
      <c r="M7" s="17"/>
    </row>
    <row r="8" customFormat="false" ht="15" hidden="false" customHeight="false" outlineLevel="0" collapsed="false">
      <c r="A8" s="7" t="s">
        <v>108</v>
      </c>
      <c r="B8" s="15" t="s">
        <v>151</v>
      </c>
      <c r="C8" s="16" t="n">
        <v>4326</v>
      </c>
      <c r="D8" s="15" t="n">
        <v>199</v>
      </c>
      <c r="E8" s="15" t="n">
        <v>365</v>
      </c>
      <c r="F8" s="31" t="n">
        <v>575.2</v>
      </c>
      <c r="G8" s="20"/>
      <c r="H8" s="20"/>
      <c r="I8" s="10"/>
      <c r="J8" s="17"/>
    </row>
    <row r="9" customFormat="false" ht="15" hidden="false" customHeight="false" outlineLevel="0" collapsed="false">
      <c r="A9" s="7" t="s">
        <v>108</v>
      </c>
      <c r="B9" s="15" t="s">
        <v>152</v>
      </c>
      <c r="C9" s="16" t="n">
        <v>6489</v>
      </c>
      <c r="D9" s="15" t="n">
        <v>282</v>
      </c>
      <c r="E9" s="15" t="n">
        <v>365</v>
      </c>
      <c r="F9" s="31" t="n">
        <v>575.2</v>
      </c>
      <c r="G9" s="20"/>
      <c r="H9" s="20"/>
      <c r="I9" s="10"/>
      <c r="J9" s="17"/>
      <c r="L9" s="2" t="s">
        <v>153</v>
      </c>
    </row>
    <row r="10" customFormat="false" ht="15" hidden="false" customHeight="false" outlineLevel="0" collapsed="false">
      <c r="A10" s="7" t="s">
        <v>108</v>
      </c>
      <c r="B10" s="15" t="s">
        <v>154</v>
      </c>
      <c r="C10" s="16" t="n">
        <v>10815</v>
      </c>
      <c r="D10" s="15" t="n">
        <v>349</v>
      </c>
      <c r="E10" s="15" t="n">
        <v>365</v>
      </c>
      <c r="F10" s="31" t="n">
        <v>575.2</v>
      </c>
      <c r="G10" s="20"/>
      <c r="H10" s="20"/>
      <c r="I10" s="10"/>
      <c r="J10" s="17"/>
      <c r="L10" s="2" t="s">
        <v>155</v>
      </c>
    </row>
    <row r="11" customFormat="false" ht="15" hidden="false" customHeight="false" outlineLevel="0" collapsed="false">
      <c r="A11" s="7" t="s">
        <v>110</v>
      </c>
      <c r="B11" s="15" t="s">
        <v>156</v>
      </c>
      <c r="C11" s="16" t="n">
        <v>1760</v>
      </c>
      <c r="D11" s="15" t="n">
        <v>137</v>
      </c>
      <c r="E11" s="15" t="n">
        <v>240</v>
      </c>
      <c r="F11" s="31" t="n">
        <v>346.8</v>
      </c>
      <c r="G11" s="20"/>
      <c r="H11" s="20"/>
      <c r="I11" s="10"/>
      <c r="J11" s="17"/>
    </row>
    <row r="12" customFormat="false" ht="15" hidden="false" customHeight="false" outlineLevel="0" collapsed="false">
      <c r="A12" s="7" t="s">
        <v>110</v>
      </c>
      <c r="B12" s="15" t="s">
        <v>157</v>
      </c>
      <c r="C12" s="16" t="n">
        <v>4401</v>
      </c>
      <c r="D12" s="15" t="n">
        <v>209</v>
      </c>
      <c r="E12" s="15" t="n">
        <v>240</v>
      </c>
      <c r="F12" s="31" t="n">
        <v>346.8</v>
      </c>
      <c r="G12" s="20"/>
      <c r="H12" s="20"/>
      <c r="I12" s="10"/>
      <c r="J12" s="17"/>
    </row>
    <row r="13" customFormat="false" ht="15" hidden="false" customHeight="false" outlineLevel="0" collapsed="false">
      <c r="A13" s="7" t="s">
        <v>110</v>
      </c>
      <c r="B13" s="15" t="s">
        <v>158</v>
      </c>
      <c r="C13" s="16" t="n">
        <v>2640</v>
      </c>
      <c r="D13" s="15" t="n">
        <v>222</v>
      </c>
      <c r="E13" s="15" t="n">
        <v>240</v>
      </c>
      <c r="F13" s="31" t="n">
        <v>346.8</v>
      </c>
      <c r="G13" s="20"/>
      <c r="H13" s="20"/>
      <c r="I13" s="10"/>
      <c r="J13" s="17"/>
    </row>
    <row r="14" customFormat="false" ht="15" hidden="false" customHeight="false" outlineLevel="0" collapsed="false">
      <c r="A14" s="7" t="s">
        <v>112</v>
      </c>
      <c r="B14" s="15" t="s">
        <v>159</v>
      </c>
      <c r="C14" s="16" t="n">
        <v>1259</v>
      </c>
      <c r="D14" s="15" t="n">
        <v>268</v>
      </c>
      <c r="E14" s="15" t="n">
        <v>540</v>
      </c>
      <c r="F14" s="31" t="n">
        <v>135.5</v>
      </c>
      <c r="G14" s="20"/>
      <c r="H14" s="20"/>
      <c r="I14" s="10"/>
      <c r="J14" s="17"/>
    </row>
    <row r="15" customFormat="false" ht="15" hidden="false" customHeight="false" outlineLevel="0" collapsed="false">
      <c r="A15" s="7" t="s">
        <v>112</v>
      </c>
      <c r="B15" s="15" t="s">
        <v>160</v>
      </c>
      <c r="C15" s="16" t="n">
        <v>1888</v>
      </c>
      <c r="D15" s="15" t="n">
        <v>323</v>
      </c>
      <c r="E15" s="15" t="n">
        <v>540</v>
      </c>
      <c r="F15" s="31" t="n">
        <v>135.5</v>
      </c>
      <c r="G15" s="20"/>
      <c r="H15" s="20"/>
      <c r="I15" s="10"/>
      <c r="J15" s="17"/>
    </row>
    <row r="16" customFormat="false" ht="15" hidden="false" customHeight="false" outlineLevel="0" collapsed="false">
      <c r="A16" s="7" t="s">
        <v>112</v>
      </c>
      <c r="B16" s="15" t="s">
        <v>161</v>
      </c>
      <c r="C16" s="16" t="n">
        <v>3147</v>
      </c>
      <c r="D16" s="15" t="n">
        <v>521</v>
      </c>
      <c r="E16" s="15" t="n">
        <v>540</v>
      </c>
      <c r="F16" s="31" t="n">
        <v>135.5</v>
      </c>
      <c r="G16" s="20"/>
      <c r="H16" s="20"/>
      <c r="I16" s="10"/>
      <c r="J16" s="17"/>
    </row>
    <row r="17" customFormat="false" ht="15" hidden="false" customHeight="false" outlineLevel="0" collapsed="false">
      <c r="A17" s="7" t="s">
        <v>114</v>
      </c>
      <c r="B17" s="15" t="s">
        <v>162</v>
      </c>
      <c r="C17" s="16" t="n">
        <v>2395</v>
      </c>
      <c r="D17" s="15" t="n">
        <v>101</v>
      </c>
      <c r="E17" s="15" t="n">
        <v>180</v>
      </c>
      <c r="F17" s="31" t="n">
        <v>226.3</v>
      </c>
      <c r="G17" s="20"/>
      <c r="H17" s="20"/>
      <c r="I17" s="10"/>
      <c r="J17" s="17"/>
    </row>
    <row r="18" customFormat="false" ht="15" hidden="false" customHeight="false" outlineLevel="0" collapsed="false">
      <c r="A18" s="7" t="s">
        <v>114</v>
      </c>
      <c r="B18" s="15" t="s">
        <v>163</v>
      </c>
      <c r="C18" s="16" t="n">
        <v>3593</v>
      </c>
      <c r="D18" s="15" t="n">
        <v>127</v>
      </c>
      <c r="E18" s="15" t="n">
        <v>180</v>
      </c>
      <c r="F18" s="31" t="n">
        <v>226.3</v>
      </c>
      <c r="G18" s="20"/>
      <c r="H18" s="20"/>
      <c r="I18" s="10"/>
      <c r="J18" s="17"/>
    </row>
    <row r="19" customFormat="false" ht="15" hidden="false" customHeight="false" outlineLevel="0" collapsed="false">
      <c r="A19" s="7" t="s">
        <v>114</v>
      </c>
      <c r="B19" s="15" t="s">
        <v>164</v>
      </c>
      <c r="C19" s="16" t="n">
        <v>5988</v>
      </c>
      <c r="D19" s="15" t="n">
        <v>162</v>
      </c>
      <c r="E19" s="15" t="n">
        <v>180</v>
      </c>
      <c r="F19" s="31" t="n">
        <v>226.3</v>
      </c>
      <c r="G19" s="20"/>
      <c r="H19" s="20"/>
      <c r="I19" s="10"/>
      <c r="J19" s="17"/>
    </row>
    <row r="20" customFormat="false" ht="15" hidden="false" customHeight="false" outlineLevel="0" collapsed="false">
      <c r="A20" s="7" t="s">
        <v>117</v>
      </c>
      <c r="B20" s="15" t="s">
        <v>165</v>
      </c>
      <c r="C20" s="16" t="n">
        <v>99</v>
      </c>
      <c r="D20" s="15" t="n">
        <v>202</v>
      </c>
      <c r="E20" s="15" t="n">
        <v>365</v>
      </c>
      <c r="F20" s="31" t="n">
        <v>17.1</v>
      </c>
      <c r="G20" s="20"/>
      <c r="H20" s="20"/>
      <c r="I20" s="10"/>
      <c r="J20" s="17"/>
    </row>
    <row r="21" customFormat="false" ht="15" hidden="false" customHeight="false" outlineLevel="0" collapsed="false">
      <c r="A21" s="7" t="s">
        <v>117</v>
      </c>
      <c r="B21" s="15" t="s">
        <v>166</v>
      </c>
      <c r="C21" s="16" t="n">
        <v>148</v>
      </c>
      <c r="D21" s="15" t="n">
        <v>293</v>
      </c>
      <c r="E21" s="15" t="n">
        <v>365</v>
      </c>
      <c r="F21" s="31" t="n">
        <v>17.1</v>
      </c>
      <c r="G21" s="20"/>
      <c r="H21" s="20"/>
      <c r="I21" s="10"/>
      <c r="J21" s="17"/>
    </row>
    <row r="22" customFormat="false" ht="15" hidden="false" customHeight="false" outlineLevel="0" collapsed="false">
      <c r="A22" s="7" t="s">
        <v>117</v>
      </c>
      <c r="B22" s="15" t="s">
        <v>167</v>
      </c>
      <c r="C22" s="16" t="n">
        <v>247</v>
      </c>
      <c r="D22" s="15" t="n">
        <v>332</v>
      </c>
      <c r="E22" s="15" t="n">
        <v>365</v>
      </c>
      <c r="F22" s="31" t="n">
        <v>17.1</v>
      </c>
      <c r="G22" s="20"/>
      <c r="H22" s="20"/>
      <c r="I22" s="10"/>
      <c r="J22" s="17"/>
    </row>
    <row r="23" customFormat="false" ht="15" hidden="false" customHeight="false" outlineLevel="0" collapsed="false">
      <c r="A23" s="7" t="s">
        <v>118</v>
      </c>
      <c r="B23" s="15" t="s">
        <v>168</v>
      </c>
      <c r="C23" s="16" t="n">
        <v>14</v>
      </c>
      <c r="D23" s="15" t="n">
        <v>244</v>
      </c>
      <c r="E23" s="15" t="n">
        <v>540</v>
      </c>
      <c r="F23" s="31" t="n">
        <v>2</v>
      </c>
      <c r="G23" s="20"/>
      <c r="H23" s="20"/>
      <c r="I23" s="10"/>
      <c r="J23" s="17"/>
    </row>
    <row r="24" customFormat="false" ht="15" hidden="false" customHeight="false" outlineLevel="0" collapsed="false">
      <c r="A24" s="7" t="s">
        <v>118</v>
      </c>
      <c r="B24" s="15" t="s">
        <v>169</v>
      </c>
      <c r="C24" s="16" t="n">
        <v>10</v>
      </c>
      <c r="D24" s="15" t="n">
        <v>281</v>
      </c>
      <c r="E24" s="15" t="n">
        <v>540</v>
      </c>
      <c r="F24" s="31" t="n">
        <v>2</v>
      </c>
      <c r="G24" s="20"/>
      <c r="H24" s="20"/>
      <c r="I24" s="10"/>
      <c r="J24" s="17"/>
    </row>
    <row r="25" customFormat="false" ht="15" hidden="false" customHeight="false" outlineLevel="0" collapsed="false">
      <c r="A25" s="7" t="s">
        <v>118</v>
      </c>
      <c r="B25" s="15" t="s">
        <v>170</v>
      </c>
      <c r="C25" s="16" t="n">
        <v>24</v>
      </c>
      <c r="D25" s="15" t="n">
        <v>534</v>
      </c>
      <c r="E25" s="15" t="n">
        <v>540</v>
      </c>
      <c r="F25" s="31" t="n">
        <v>2</v>
      </c>
      <c r="G25" s="20"/>
      <c r="H25" s="20"/>
      <c r="I25" s="10"/>
      <c r="J25" s="17"/>
    </row>
    <row r="26" customFormat="false" ht="15" hidden="false" customHeight="false" outlineLevel="0" collapsed="false">
      <c r="A26" s="7" t="s">
        <v>119</v>
      </c>
      <c r="B26" s="15" t="s">
        <v>171</v>
      </c>
      <c r="C26" s="16" t="n">
        <v>1</v>
      </c>
      <c r="D26" s="15" t="n">
        <v>268</v>
      </c>
      <c r="E26" s="15" t="n">
        <v>360</v>
      </c>
      <c r="F26" s="31" t="n">
        <v>0.1</v>
      </c>
      <c r="G26" s="20"/>
      <c r="H26" s="20"/>
      <c r="I26" s="10"/>
      <c r="J26" s="17"/>
    </row>
    <row r="27" customFormat="false" ht="15" hidden="false" customHeight="false" outlineLevel="0" collapsed="false">
      <c r="A27" s="7" t="s">
        <v>119</v>
      </c>
      <c r="B27" s="15" t="s">
        <v>172</v>
      </c>
      <c r="C27" s="16" t="n">
        <v>1</v>
      </c>
      <c r="D27" s="15" t="n">
        <v>297</v>
      </c>
      <c r="E27" s="15" t="n">
        <v>360</v>
      </c>
      <c r="F27" s="31" t="n">
        <v>0.1</v>
      </c>
      <c r="G27" s="20"/>
      <c r="H27" s="20"/>
      <c r="I27" s="10"/>
      <c r="J27" s="17"/>
    </row>
    <row r="28" customFormat="false" ht="15" hidden="false" customHeight="false" outlineLevel="0" collapsed="false">
      <c r="A28" s="7" t="s">
        <v>119</v>
      </c>
      <c r="B28" s="15" t="s">
        <v>173</v>
      </c>
      <c r="C28" s="16" t="n">
        <v>2</v>
      </c>
      <c r="D28" s="15" t="n">
        <v>322</v>
      </c>
      <c r="E28" s="15" t="n">
        <v>360</v>
      </c>
      <c r="F28" s="31" t="n">
        <v>0.1</v>
      </c>
      <c r="G28" s="20"/>
      <c r="H28" s="20"/>
      <c r="I28" s="10"/>
      <c r="J28" s="17"/>
    </row>
    <row r="29" customFormat="false" ht="15" hidden="false" customHeight="false" outlineLevel="0" collapsed="false">
      <c r="A29" s="7" t="s">
        <v>120</v>
      </c>
      <c r="B29" s="15" t="s">
        <v>174</v>
      </c>
      <c r="C29" s="16" t="n">
        <v>1258</v>
      </c>
      <c r="D29" s="15" t="n">
        <v>116</v>
      </c>
      <c r="E29" s="15" t="n">
        <v>240</v>
      </c>
      <c r="F29" s="31" t="n">
        <v>302</v>
      </c>
      <c r="G29" s="20"/>
      <c r="H29" s="20"/>
      <c r="I29" s="10"/>
      <c r="J29" s="17"/>
    </row>
    <row r="30" customFormat="false" ht="15" hidden="false" customHeight="false" outlineLevel="0" collapsed="false">
      <c r="A30" s="7" t="s">
        <v>120</v>
      </c>
      <c r="B30" s="15" t="s">
        <v>175</v>
      </c>
      <c r="C30" s="16" t="n">
        <v>1887</v>
      </c>
      <c r="D30" s="15" t="n">
        <v>204</v>
      </c>
      <c r="E30" s="15" t="n">
        <v>240</v>
      </c>
      <c r="F30" s="31" t="n">
        <v>302</v>
      </c>
      <c r="G30" s="20"/>
      <c r="H30" s="20"/>
      <c r="I30" s="10"/>
      <c r="J30" s="17"/>
    </row>
    <row r="31" customFormat="false" ht="15" hidden="false" customHeight="false" outlineLevel="0" collapsed="false">
      <c r="A31" s="7" t="s">
        <v>120</v>
      </c>
      <c r="B31" s="15" t="s">
        <v>176</v>
      </c>
      <c r="C31" s="16" t="n">
        <v>3146</v>
      </c>
      <c r="D31" s="15" t="n">
        <v>218</v>
      </c>
      <c r="E31" s="15" t="n">
        <v>240</v>
      </c>
      <c r="F31" s="31" t="n">
        <v>302</v>
      </c>
      <c r="G31" s="20"/>
      <c r="H31" s="20"/>
      <c r="I31" s="10"/>
      <c r="J31" s="17"/>
    </row>
    <row r="32" customFormat="false" ht="15" hidden="false" customHeight="false" outlineLevel="0" collapsed="false">
      <c r="A32" s="7" t="s">
        <v>121</v>
      </c>
      <c r="B32" s="15" t="s">
        <v>177</v>
      </c>
      <c r="C32" s="16" t="n">
        <v>43</v>
      </c>
      <c r="D32" s="15" t="n">
        <v>308</v>
      </c>
      <c r="E32" s="15" t="n">
        <v>365</v>
      </c>
      <c r="F32" s="31" t="n">
        <v>5.1</v>
      </c>
      <c r="G32" s="20"/>
      <c r="H32" s="20"/>
      <c r="I32" s="10"/>
      <c r="J32" s="17"/>
    </row>
    <row r="33" customFormat="false" ht="15" hidden="false" customHeight="false" outlineLevel="0" collapsed="false">
      <c r="A33" s="7" t="s">
        <v>121</v>
      </c>
      <c r="B33" s="15" t="s">
        <v>178</v>
      </c>
      <c r="C33" s="16" t="n">
        <v>29</v>
      </c>
      <c r="D33" s="15" t="n">
        <v>318</v>
      </c>
      <c r="E33" s="15" t="n">
        <v>365</v>
      </c>
      <c r="F33" s="31" t="n">
        <v>5.1</v>
      </c>
      <c r="G33" s="20"/>
      <c r="H33" s="20"/>
      <c r="I33" s="10"/>
      <c r="J33" s="17"/>
    </row>
    <row r="34" customFormat="false" ht="15" hidden="false" customHeight="false" outlineLevel="0" collapsed="false">
      <c r="A34" s="7" t="s">
        <v>121</v>
      </c>
      <c r="B34" s="15" t="s">
        <v>179</v>
      </c>
      <c r="C34" s="16" t="n">
        <v>71</v>
      </c>
      <c r="D34" s="15" t="n">
        <v>355</v>
      </c>
      <c r="E34" s="15" t="n">
        <v>365</v>
      </c>
      <c r="F34" s="31" t="n">
        <v>5.1</v>
      </c>
      <c r="G34" s="20"/>
      <c r="H34" s="20"/>
      <c r="I34" s="10"/>
      <c r="J34" s="17"/>
    </row>
    <row r="35" customFormat="false" ht="15" hidden="false" customHeight="false" outlineLevel="0" collapsed="false">
      <c r="A35" s="7" t="s">
        <v>122</v>
      </c>
      <c r="B35" s="15" t="s">
        <v>180</v>
      </c>
      <c r="C35" s="16" t="n">
        <v>315</v>
      </c>
      <c r="D35" s="15" t="n">
        <v>238</v>
      </c>
      <c r="E35" s="15" t="n">
        <v>365</v>
      </c>
      <c r="F35" s="31" t="n">
        <v>62.4</v>
      </c>
      <c r="G35" s="20"/>
      <c r="H35" s="20"/>
      <c r="I35" s="10"/>
      <c r="J35" s="17"/>
    </row>
    <row r="36" customFormat="false" ht="15" hidden="false" customHeight="false" outlineLevel="0" collapsed="false">
      <c r="A36" s="7" t="s">
        <v>122</v>
      </c>
      <c r="B36" s="15" t="s">
        <v>181</v>
      </c>
      <c r="C36" s="16" t="n">
        <v>473</v>
      </c>
      <c r="D36" s="15" t="n">
        <v>293</v>
      </c>
      <c r="E36" s="15" t="n">
        <v>365</v>
      </c>
      <c r="F36" s="31" t="n">
        <v>62.4</v>
      </c>
      <c r="G36" s="20"/>
      <c r="H36" s="20"/>
      <c r="I36" s="10"/>
      <c r="J36" s="17"/>
    </row>
    <row r="37" customFormat="false" ht="15" hidden="false" customHeight="false" outlineLevel="0" collapsed="false">
      <c r="A37" s="7" t="s">
        <v>122</v>
      </c>
      <c r="B37" s="15" t="s">
        <v>182</v>
      </c>
      <c r="C37" s="16" t="n">
        <v>788</v>
      </c>
      <c r="D37" s="15" t="n">
        <v>338</v>
      </c>
      <c r="E37" s="15" t="n">
        <v>365</v>
      </c>
      <c r="F37" s="31" t="n">
        <v>62.4</v>
      </c>
      <c r="G37" s="20"/>
      <c r="H37" s="20"/>
      <c r="I37" s="10"/>
      <c r="J37" s="17"/>
    </row>
    <row r="38" customFormat="false" ht="15" hidden="false" customHeight="false" outlineLevel="0" collapsed="false">
      <c r="A38" s="7" t="s">
        <v>124</v>
      </c>
      <c r="B38" s="15" t="s">
        <v>183</v>
      </c>
      <c r="C38" s="16" t="n">
        <v>25315</v>
      </c>
      <c r="D38" s="15" t="n">
        <v>138</v>
      </c>
      <c r="E38" s="15" t="n">
        <v>180</v>
      </c>
      <c r="F38" s="31" t="n">
        <v>2052.5</v>
      </c>
      <c r="G38" s="20"/>
      <c r="H38" s="20"/>
      <c r="I38" s="10"/>
      <c r="J38" s="17"/>
    </row>
    <row r="39" customFormat="false" ht="15" hidden="false" customHeight="false" outlineLevel="0" collapsed="false">
      <c r="A39" s="7" t="s">
        <v>124</v>
      </c>
      <c r="B39" s="15" t="s">
        <v>184</v>
      </c>
      <c r="C39" s="16" t="n">
        <v>42192</v>
      </c>
      <c r="D39" s="15" t="n">
        <v>151</v>
      </c>
      <c r="E39" s="15" t="n">
        <v>180</v>
      </c>
      <c r="F39" s="31" t="n">
        <v>2052.5</v>
      </c>
      <c r="G39" s="20"/>
      <c r="H39" s="20"/>
      <c r="I39" s="10"/>
      <c r="J39" s="17"/>
    </row>
    <row r="40" customFormat="false" ht="15" hidden="false" customHeight="false" outlineLevel="0" collapsed="false">
      <c r="A40" s="7" t="s">
        <v>124</v>
      </c>
      <c r="B40" s="15" t="s">
        <v>185</v>
      </c>
      <c r="C40" s="16" t="n">
        <v>16877</v>
      </c>
      <c r="D40" s="15" t="n">
        <v>156</v>
      </c>
      <c r="E40" s="15" t="n">
        <v>180</v>
      </c>
      <c r="F40" s="31" t="n">
        <v>2052.5</v>
      </c>
      <c r="G40" s="20"/>
      <c r="H40" s="20"/>
      <c r="I40" s="10"/>
      <c r="J40" s="17"/>
    </row>
    <row r="41" customFormat="false" ht="15" hidden="false" customHeight="false" outlineLevel="0" collapsed="false">
      <c r="A41" s="7" t="s">
        <v>125</v>
      </c>
      <c r="B41" s="15" t="s">
        <v>186</v>
      </c>
      <c r="C41" s="16" t="n">
        <v>7843</v>
      </c>
      <c r="D41" s="15" t="n">
        <v>115</v>
      </c>
      <c r="E41" s="15" t="n">
        <v>180</v>
      </c>
      <c r="F41" s="31" t="n">
        <v>859.9</v>
      </c>
      <c r="G41" s="20"/>
      <c r="H41" s="20"/>
      <c r="I41" s="10"/>
      <c r="J41" s="17"/>
    </row>
    <row r="42" customFormat="false" ht="15" hidden="false" customHeight="false" outlineLevel="0" collapsed="false">
      <c r="A42" s="7" t="s">
        <v>125</v>
      </c>
      <c r="B42" s="15" t="s">
        <v>187</v>
      </c>
      <c r="C42" s="16" t="n">
        <v>13072</v>
      </c>
      <c r="D42" s="15" t="n">
        <v>142</v>
      </c>
      <c r="E42" s="15" t="n">
        <v>180</v>
      </c>
      <c r="F42" s="31" t="n">
        <v>859.9</v>
      </c>
      <c r="G42" s="20"/>
      <c r="H42" s="20"/>
      <c r="I42" s="10"/>
      <c r="J42" s="17"/>
    </row>
    <row r="43" customFormat="false" ht="15" hidden="false" customHeight="false" outlineLevel="0" collapsed="false">
      <c r="A43" s="7" t="s">
        <v>125</v>
      </c>
      <c r="B43" s="15" t="s">
        <v>188</v>
      </c>
      <c r="C43" s="16" t="n">
        <v>5229</v>
      </c>
      <c r="D43" s="15" t="n">
        <v>146</v>
      </c>
      <c r="E43" s="15" t="n">
        <v>180</v>
      </c>
      <c r="F43" s="31" t="n">
        <v>859.9</v>
      </c>
      <c r="G43" s="20"/>
      <c r="H43" s="20"/>
      <c r="I43" s="10"/>
      <c r="J43" s="17"/>
    </row>
    <row r="44" customFormat="false" ht="15" hidden="false" customHeight="false" outlineLevel="0" collapsed="false">
      <c r="A44" s="7" t="s">
        <v>126</v>
      </c>
      <c r="B44" s="15" t="s">
        <v>189</v>
      </c>
      <c r="C44" s="16" t="n">
        <v>5620</v>
      </c>
      <c r="D44" s="15" t="n">
        <v>111</v>
      </c>
      <c r="E44" s="15" t="n">
        <v>180</v>
      </c>
      <c r="F44" s="31" t="n">
        <v>583.7</v>
      </c>
      <c r="G44" s="20"/>
      <c r="H44" s="20"/>
      <c r="I44" s="10"/>
      <c r="J44" s="17"/>
    </row>
    <row r="45" customFormat="false" ht="15" hidden="false" customHeight="false" outlineLevel="0" collapsed="false">
      <c r="A45" s="7" t="s">
        <v>126</v>
      </c>
      <c r="B45" s="15" t="s">
        <v>190</v>
      </c>
      <c r="C45" s="16" t="n">
        <v>3747</v>
      </c>
      <c r="D45" s="15" t="n">
        <v>121</v>
      </c>
      <c r="E45" s="15" t="n">
        <v>180</v>
      </c>
      <c r="F45" s="31" t="n">
        <v>583.7</v>
      </c>
      <c r="G45" s="20"/>
      <c r="H45" s="20"/>
      <c r="I45" s="10"/>
      <c r="J45" s="17"/>
    </row>
    <row r="46" customFormat="false" ht="15" hidden="false" customHeight="false" outlineLevel="0" collapsed="false">
      <c r="A46" s="7" t="s">
        <v>126</v>
      </c>
      <c r="B46" s="15" t="s">
        <v>191</v>
      </c>
      <c r="C46" s="16" t="n">
        <v>9367</v>
      </c>
      <c r="D46" s="15" t="n">
        <v>146</v>
      </c>
      <c r="E46" s="15" t="n">
        <v>180</v>
      </c>
      <c r="F46" s="31" t="n">
        <v>583.7</v>
      </c>
      <c r="G46" s="20"/>
      <c r="H46" s="20"/>
      <c r="I46" s="10"/>
      <c r="J46" s="17"/>
    </row>
    <row r="47" customFormat="false" ht="15" hidden="false" customHeight="false" outlineLevel="0" collapsed="false">
      <c r="A47" s="7" t="s">
        <v>127</v>
      </c>
      <c r="B47" s="15" t="s">
        <v>192</v>
      </c>
      <c r="C47" s="16" t="n">
        <v>3128</v>
      </c>
      <c r="D47" s="15" t="n">
        <v>113</v>
      </c>
      <c r="E47" s="15" t="n">
        <v>180</v>
      </c>
      <c r="F47" s="31" t="n">
        <v>188.8</v>
      </c>
      <c r="G47" s="20"/>
      <c r="H47" s="20"/>
      <c r="I47" s="10"/>
      <c r="J47" s="17"/>
    </row>
    <row r="48" customFormat="false" ht="15" hidden="false" customHeight="false" outlineLevel="0" collapsed="false">
      <c r="A48" s="7" t="s">
        <v>127</v>
      </c>
      <c r="B48" s="15" t="s">
        <v>193</v>
      </c>
      <c r="C48" s="16" t="n">
        <v>5213</v>
      </c>
      <c r="D48" s="15" t="n">
        <v>152</v>
      </c>
      <c r="E48" s="15" t="n">
        <v>180</v>
      </c>
      <c r="F48" s="31" t="n">
        <v>188.8</v>
      </c>
      <c r="G48" s="20"/>
      <c r="H48" s="20"/>
      <c r="I48" s="10"/>
      <c r="J48" s="17"/>
    </row>
    <row r="49" customFormat="false" ht="15" hidden="false" customHeight="false" outlineLevel="0" collapsed="false">
      <c r="A49" s="7" t="s">
        <v>127</v>
      </c>
      <c r="B49" s="15" t="s">
        <v>194</v>
      </c>
      <c r="C49" s="16" t="n">
        <v>2085</v>
      </c>
      <c r="D49" s="15" t="n">
        <v>154</v>
      </c>
      <c r="E49" s="15" t="n">
        <v>180</v>
      </c>
      <c r="F49" s="31" t="n">
        <v>188.8</v>
      </c>
      <c r="G49" s="20"/>
      <c r="H49" s="20"/>
      <c r="I49" s="10"/>
      <c r="J49" s="17"/>
    </row>
    <row r="50" customFormat="false" ht="15" hidden="false" customHeight="false" outlineLevel="0" collapsed="false">
      <c r="A50" s="7" t="s">
        <v>128</v>
      </c>
      <c r="B50" s="15" t="s">
        <v>195</v>
      </c>
      <c r="C50" s="16" t="n">
        <v>1205</v>
      </c>
      <c r="D50" s="15" t="n">
        <v>117</v>
      </c>
      <c r="E50" s="15" t="n">
        <v>180</v>
      </c>
      <c r="F50" s="31" t="n">
        <v>183.9</v>
      </c>
      <c r="G50" s="20"/>
      <c r="H50" s="20"/>
      <c r="I50" s="10"/>
      <c r="J50" s="17"/>
    </row>
    <row r="51" customFormat="false" ht="15" hidden="false" customHeight="false" outlineLevel="0" collapsed="false">
      <c r="A51" s="7" t="s">
        <v>128</v>
      </c>
      <c r="B51" s="15" t="s">
        <v>196</v>
      </c>
      <c r="C51" s="16" t="n">
        <v>803</v>
      </c>
      <c r="D51" s="15" t="n">
        <v>134</v>
      </c>
      <c r="E51" s="15" t="n">
        <v>180</v>
      </c>
      <c r="F51" s="31" t="n">
        <v>183.9</v>
      </c>
      <c r="G51" s="20"/>
      <c r="H51" s="20"/>
      <c r="I51" s="10"/>
      <c r="J51" s="17"/>
    </row>
    <row r="52" customFormat="false" ht="15" hidden="false" customHeight="false" outlineLevel="0" collapsed="false">
      <c r="A52" s="7" t="s">
        <v>128</v>
      </c>
      <c r="B52" s="15" t="s">
        <v>197</v>
      </c>
      <c r="C52" s="16" t="n">
        <v>2008</v>
      </c>
      <c r="D52" s="15" t="n">
        <v>142</v>
      </c>
      <c r="E52" s="15" t="n">
        <v>180</v>
      </c>
      <c r="F52" s="31" t="n">
        <v>183.9</v>
      </c>
      <c r="G52" s="20"/>
      <c r="H52" s="20"/>
      <c r="I52" s="10"/>
      <c r="J52" s="17"/>
    </row>
    <row r="53" customFormat="false" ht="15" hidden="false" customHeight="false" outlineLevel="0" collapsed="false">
      <c r="A53" s="7" t="s">
        <v>129</v>
      </c>
      <c r="B53" s="15" t="s">
        <v>198</v>
      </c>
      <c r="C53" s="16" t="n">
        <v>5587</v>
      </c>
      <c r="D53" s="15" t="n">
        <v>295</v>
      </c>
      <c r="E53" s="15" t="n">
        <v>540</v>
      </c>
      <c r="F53" s="31" t="n">
        <v>463.1</v>
      </c>
      <c r="G53" s="20"/>
      <c r="H53" s="20"/>
      <c r="I53" s="10"/>
      <c r="J53" s="17"/>
    </row>
    <row r="54" customFormat="false" ht="15" hidden="false" customHeight="false" outlineLevel="0" collapsed="false">
      <c r="A54" s="7" t="s">
        <v>129</v>
      </c>
      <c r="B54" s="15" t="s">
        <v>199</v>
      </c>
      <c r="C54" s="16" t="n">
        <v>3725</v>
      </c>
      <c r="D54" s="15" t="n">
        <v>468</v>
      </c>
      <c r="E54" s="15" t="n">
        <v>540</v>
      </c>
      <c r="F54" s="31" t="n">
        <v>463.1</v>
      </c>
      <c r="G54" s="20"/>
      <c r="H54" s="20"/>
      <c r="I54" s="10"/>
      <c r="J54" s="17"/>
    </row>
    <row r="55" customFormat="false" ht="15" hidden="false" customHeight="false" outlineLevel="0" collapsed="false">
      <c r="A55" s="7" t="s">
        <v>129</v>
      </c>
      <c r="B55" s="15" t="s">
        <v>200</v>
      </c>
      <c r="C55" s="16" t="n">
        <v>9312</v>
      </c>
      <c r="D55" s="15" t="n">
        <v>533</v>
      </c>
      <c r="E55" s="15" t="n">
        <v>540</v>
      </c>
      <c r="F55" s="31" t="n">
        <v>463.1</v>
      </c>
      <c r="G55" s="20"/>
      <c r="H55" s="20"/>
      <c r="I55" s="10"/>
      <c r="J55" s="17"/>
    </row>
    <row r="56" customFormat="false" ht="15" hidden="false" customHeight="false" outlineLevel="0" collapsed="false">
      <c r="A56" s="7" t="s">
        <v>130</v>
      </c>
      <c r="B56" s="15" t="s">
        <v>201</v>
      </c>
      <c r="C56" s="16" t="n">
        <v>5751</v>
      </c>
      <c r="D56" s="15" t="n">
        <v>451</v>
      </c>
      <c r="E56" s="15" t="n">
        <v>540</v>
      </c>
      <c r="F56" s="31" t="n">
        <v>402.1</v>
      </c>
      <c r="G56" s="20"/>
      <c r="H56" s="20"/>
      <c r="I56" s="10"/>
      <c r="J56" s="17"/>
    </row>
    <row r="57" customFormat="false" ht="15" hidden="false" customHeight="false" outlineLevel="0" collapsed="false">
      <c r="A57" s="7" t="s">
        <v>130</v>
      </c>
      <c r="B57" s="15" t="s">
        <v>202</v>
      </c>
      <c r="C57" s="16" t="n">
        <v>9585</v>
      </c>
      <c r="D57" s="15" t="n">
        <v>517</v>
      </c>
      <c r="E57" s="15" t="n">
        <v>540</v>
      </c>
      <c r="F57" s="31" t="n">
        <v>402.1</v>
      </c>
      <c r="G57" s="20"/>
      <c r="H57" s="20"/>
      <c r="I57" s="10"/>
      <c r="J57" s="17"/>
    </row>
    <row r="58" customFormat="false" ht="15" hidden="false" customHeight="false" outlineLevel="0" collapsed="false">
      <c r="A58" s="7" t="s">
        <v>130</v>
      </c>
      <c r="B58" s="15" t="s">
        <v>203</v>
      </c>
      <c r="C58" s="16" t="n">
        <v>3834</v>
      </c>
      <c r="D58" s="15" t="n">
        <v>522</v>
      </c>
      <c r="E58" s="15" t="n">
        <v>540</v>
      </c>
      <c r="F58" s="31" t="n">
        <v>402.1</v>
      </c>
      <c r="G58" s="20"/>
      <c r="H58" s="20"/>
      <c r="I58" s="10"/>
      <c r="J58" s="17"/>
    </row>
    <row r="59" customFormat="false" ht="15" hidden="false" customHeight="false" outlineLevel="0" collapsed="false">
      <c r="A59" s="7" t="s">
        <v>131</v>
      </c>
      <c r="B59" s="15" t="s">
        <v>204</v>
      </c>
      <c r="C59" s="16" t="n">
        <v>5902</v>
      </c>
      <c r="D59" s="15" t="n">
        <v>81</v>
      </c>
      <c r="E59" s="15" t="n">
        <v>365</v>
      </c>
      <c r="F59" s="31" t="n">
        <v>275.5</v>
      </c>
      <c r="G59" s="20"/>
      <c r="H59" s="20"/>
      <c r="I59" s="10"/>
      <c r="J59" s="17"/>
    </row>
    <row r="60" customFormat="false" ht="15" hidden="false" customHeight="false" outlineLevel="0" collapsed="false">
      <c r="A60" s="7" t="s">
        <v>131</v>
      </c>
      <c r="B60" s="15" t="s">
        <v>205</v>
      </c>
      <c r="C60" s="16" t="n">
        <v>8854</v>
      </c>
      <c r="D60" s="15" t="n">
        <v>346</v>
      </c>
      <c r="E60" s="15" t="n">
        <v>365</v>
      </c>
      <c r="F60" s="31" t="n">
        <v>275.5</v>
      </c>
      <c r="G60" s="20"/>
      <c r="H60" s="20"/>
      <c r="I60" s="10"/>
      <c r="J60" s="17"/>
    </row>
    <row r="61" customFormat="false" ht="15" hidden="false" customHeight="false" outlineLevel="0" collapsed="false">
      <c r="A61" s="7" t="s">
        <v>131</v>
      </c>
      <c r="B61" s="15" t="s">
        <v>206</v>
      </c>
      <c r="C61" s="16" t="n">
        <v>14756</v>
      </c>
      <c r="D61" s="15" t="n">
        <v>354</v>
      </c>
      <c r="E61" s="15" t="n">
        <v>365</v>
      </c>
      <c r="F61" s="31" t="n">
        <v>275.5</v>
      </c>
      <c r="G61" s="20"/>
      <c r="H61" s="20"/>
      <c r="I61" s="10"/>
      <c r="J61" s="17"/>
    </row>
    <row r="62" customFormat="false" ht="15" hidden="false" customHeight="false" outlineLevel="0" collapsed="false">
      <c r="A62" s="7" t="s">
        <v>132</v>
      </c>
      <c r="B62" s="15" t="s">
        <v>207</v>
      </c>
      <c r="C62" s="16" t="n">
        <v>2037</v>
      </c>
      <c r="D62" s="15" t="n">
        <v>192</v>
      </c>
      <c r="E62" s="15" t="n">
        <v>365</v>
      </c>
      <c r="F62" s="31" t="n">
        <v>322</v>
      </c>
      <c r="G62" s="20"/>
      <c r="H62" s="20"/>
      <c r="I62" s="10"/>
      <c r="J62" s="17"/>
    </row>
    <row r="63" customFormat="false" ht="15" hidden="false" customHeight="false" outlineLevel="0" collapsed="false">
      <c r="A63" s="7" t="s">
        <v>132</v>
      </c>
      <c r="B63" s="15" t="s">
        <v>208</v>
      </c>
      <c r="C63" s="16" t="n">
        <v>3055</v>
      </c>
      <c r="D63" s="15" t="n">
        <v>308</v>
      </c>
      <c r="E63" s="15" t="n">
        <v>365</v>
      </c>
      <c r="F63" s="31" t="n">
        <v>322</v>
      </c>
      <c r="G63" s="20"/>
      <c r="H63" s="20"/>
      <c r="I63" s="10"/>
      <c r="J63" s="17"/>
    </row>
    <row r="64" customFormat="false" ht="15" hidden="false" customHeight="false" outlineLevel="0" collapsed="false">
      <c r="A64" s="7" t="s">
        <v>132</v>
      </c>
      <c r="B64" s="15" t="s">
        <v>209</v>
      </c>
      <c r="C64" s="16" t="n">
        <v>5091</v>
      </c>
      <c r="D64" s="15" t="n">
        <v>347</v>
      </c>
      <c r="E64" s="15" t="n">
        <v>365</v>
      </c>
      <c r="F64" s="31" t="n">
        <v>322</v>
      </c>
      <c r="G64" s="20"/>
      <c r="H64" s="20"/>
      <c r="I64" s="10"/>
      <c r="J64" s="17"/>
    </row>
    <row r="65" customFormat="false" ht="15" hidden="false" customHeight="false" outlineLevel="0" collapsed="false">
      <c r="A65" s="7" t="s">
        <v>133</v>
      </c>
      <c r="B65" s="15" t="s">
        <v>210</v>
      </c>
      <c r="C65" s="16" t="n">
        <v>1338</v>
      </c>
      <c r="D65" s="15" t="n">
        <v>442</v>
      </c>
      <c r="E65" s="15" t="n">
        <v>540</v>
      </c>
      <c r="F65" s="31" t="n">
        <v>163.5</v>
      </c>
      <c r="G65" s="20"/>
      <c r="H65" s="20"/>
      <c r="I65" s="10"/>
      <c r="J65" s="17"/>
    </row>
    <row r="66" customFormat="false" ht="15" hidden="false" customHeight="false" outlineLevel="0" collapsed="false">
      <c r="A66" s="7" t="s">
        <v>133</v>
      </c>
      <c r="B66" s="15" t="s">
        <v>211</v>
      </c>
      <c r="C66" s="16" t="n">
        <v>892</v>
      </c>
      <c r="D66" s="15" t="n">
        <v>472</v>
      </c>
      <c r="E66" s="15" t="n">
        <v>540</v>
      </c>
      <c r="F66" s="31" t="n">
        <v>163.5</v>
      </c>
      <c r="G66" s="20"/>
      <c r="H66" s="20"/>
      <c r="I66" s="10"/>
      <c r="J66" s="17"/>
    </row>
    <row r="67" customFormat="false" ht="15" hidden="false" customHeight="false" outlineLevel="0" collapsed="false">
      <c r="A67" s="7" t="s">
        <v>133</v>
      </c>
      <c r="B67" s="15" t="s">
        <v>212</v>
      </c>
      <c r="C67" s="16" t="n">
        <v>2230</v>
      </c>
      <c r="D67" s="15" t="n">
        <v>528</v>
      </c>
      <c r="E67" s="15" t="n">
        <v>540</v>
      </c>
      <c r="F67" s="31" t="n">
        <v>163.5</v>
      </c>
      <c r="G67" s="20"/>
      <c r="H67" s="20"/>
      <c r="I67" s="10"/>
      <c r="J67" s="17"/>
    </row>
    <row r="68" customFormat="false" ht="15" hidden="false" customHeight="false" outlineLevel="0" collapsed="false">
      <c r="A68" s="7" t="s">
        <v>134</v>
      </c>
      <c r="B68" s="15" t="s">
        <v>213</v>
      </c>
      <c r="C68" s="16" t="n">
        <v>1076</v>
      </c>
      <c r="D68" s="15" t="n">
        <v>411</v>
      </c>
      <c r="E68" s="15" t="n">
        <v>540</v>
      </c>
      <c r="F68" s="31" t="n">
        <v>171</v>
      </c>
      <c r="G68" s="20"/>
      <c r="H68" s="20"/>
      <c r="I68" s="10"/>
      <c r="J68" s="17"/>
    </row>
    <row r="69" customFormat="false" ht="15" hidden="false" customHeight="false" outlineLevel="0" collapsed="false">
      <c r="A69" s="7" t="s">
        <v>134</v>
      </c>
      <c r="B69" s="15" t="s">
        <v>214</v>
      </c>
      <c r="C69" s="16" t="n">
        <v>1615</v>
      </c>
      <c r="D69" s="15" t="n">
        <v>485</v>
      </c>
      <c r="E69" s="15" t="n">
        <v>540</v>
      </c>
      <c r="F69" s="31" t="n">
        <v>171</v>
      </c>
      <c r="G69" s="20"/>
      <c r="H69" s="20"/>
      <c r="I69" s="10"/>
      <c r="J69" s="17"/>
    </row>
    <row r="70" customFormat="false" ht="15" hidden="false" customHeight="false" outlineLevel="0" collapsed="false">
      <c r="A70" s="7" t="s">
        <v>134</v>
      </c>
      <c r="B70" s="15" t="s">
        <v>215</v>
      </c>
      <c r="C70" s="16" t="n">
        <v>2691</v>
      </c>
      <c r="D70" s="15" t="n">
        <v>533</v>
      </c>
      <c r="E70" s="15" t="n">
        <v>540</v>
      </c>
      <c r="F70" s="31" t="n">
        <v>171</v>
      </c>
      <c r="G70" s="20"/>
      <c r="H70" s="20"/>
      <c r="I70" s="10"/>
      <c r="J70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4"/>
    <col collapsed="false" customWidth="true" hidden="false" outlineLevel="0" max="5" min="5" style="0" width="30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" t="s">
        <v>216</v>
      </c>
    </row>
    <row r="2" customFormat="false" ht="15" hidden="false" customHeight="false" outlineLevel="0" collapsed="false">
      <c r="A2" s="2" t="s">
        <v>217</v>
      </c>
    </row>
    <row r="4" customFormat="false" ht="30" hidden="false" customHeight="true" outlineLevel="0" collapsed="false">
      <c r="A4" s="6" t="s">
        <v>42</v>
      </c>
      <c r="B4" s="6" t="s">
        <v>218</v>
      </c>
      <c r="C4" s="6" t="s">
        <v>219</v>
      </c>
      <c r="E4" s="14" t="s">
        <v>220</v>
      </c>
    </row>
    <row r="5" customFormat="false" ht="30" hidden="false" customHeight="true" outlineLevel="0" collapsed="false">
      <c r="A5" s="15" t="s">
        <v>221</v>
      </c>
      <c r="B5" s="18" t="n">
        <v>46590.9543090839</v>
      </c>
      <c r="C5" s="18" t="n">
        <v>46590.9543090839</v>
      </c>
      <c r="E5" s="5" t="s">
        <v>222</v>
      </c>
    </row>
    <row r="6" customFormat="false" ht="30" hidden="false" customHeight="true" outlineLevel="0" collapsed="false">
      <c r="A6" s="15" t="s">
        <v>223</v>
      </c>
      <c r="B6" s="18" t="n">
        <v>17799.6001541714</v>
      </c>
      <c r="C6" s="18" t="n">
        <v>17799.6001541714</v>
      </c>
      <c r="E6" s="5" t="s">
        <v>224</v>
      </c>
    </row>
    <row r="7" customFormat="false" ht="30" hidden="false" customHeight="true" outlineLevel="0" collapsed="false">
      <c r="A7" s="15" t="s">
        <v>225</v>
      </c>
      <c r="B7" s="18" t="n">
        <v>18670.2534158206</v>
      </c>
      <c r="C7" s="18" t="n">
        <v>18670.2534158206</v>
      </c>
      <c r="E7" s="5" t="s">
        <v>226</v>
      </c>
    </row>
    <row r="8" customFormat="false" ht="30" hidden="false" customHeight="true" outlineLevel="0" collapsed="false">
      <c r="A8" s="15" t="s">
        <v>227</v>
      </c>
      <c r="B8" s="18" t="n">
        <v>7632</v>
      </c>
      <c r="C8" s="18" t="n">
        <v>7632</v>
      </c>
      <c r="E8" s="5" t="s">
        <v>228</v>
      </c>
    </row>
    <row r="9" customFormat="false" ht="15" hidden="false" customHeight="false" outlineLevel="0" collapsed="false">
      <c r="A9" s="15" t="s">
        <v>229</v>
      </c>
      <c r="B9" s="18" t="n">
        <v>3514.72742500793</v>
      </c>
      <c r="C9" s="18" t="n">
        <v>3514.72742500793</v>
      </c>
    </row>
    <row r="10" customFormat="false" ht="15" hidden="false" customHeight="false" outlineLevel="0" collapsed="false">
      <c r="A10" s="15" t="s">
        <v>230</v>
      </c>
      <c r="B10" s="18" t="n">
        <v>2137.56948501755</v>
      </c>
      <c r="C10" s="18" t="n">
        <v>2137.56948501755</v>
      </c>
    </row>
    <row r="11" customFormat="false" ht="15" hidden="false" customHeight="false" outlineLevel="0" collapsed="false">
      <c r="A11" s="15" t="s">
        <v>231</v>
      </c>
      <c r="B11" s="18" t="n">
        <v>3301</v>
      </c>
      <c r="C11" s="18" t="n">
        <v>3301</v>
      </c>
    </row>
    <row r="12" customFormat="false" ht="15" hidden="false" customHeight="false" outlineLevel="0" collapsed="false">
      <c r="A12" s="15" t="s">
        <v>232</v>
      </c>
      <c r="B12" s="18" t="n">
        <v>2739</v>
      </c>
      <c r="C12" s="18" t="n">
        <v>2739</v>
      </c>
    </row>
    <row r="14" customFormat="false" ht="15" hidden="false" customHeight="false" outlineLevel="0" collapsed="false">
      <c r="A14" s="7" t="s">
        <v>233</v>
      </c>
      <c r="B14" s="17"/>
      <c r="C14" s="17"/>
    </row>
    <row r="15" customFormat="false" ht="15" hidden="false" customHeight="false" outlineLevel="0" collapsed="false">
      <c r="A15" s="7" t="s">
        <v>234</v>
      </c>
      <c r="B15" s="16" t="n">
        <v>106600</v>
      </c>
      <c r="C15" s="16" t="n">
        <v>82000</v>
      </c>
    </row>
    <row r="16" customFormat="false" ht="15" hidden="false" customHeight="false" outlineLevel="0" collapsed="false">
      <c r="A16" s="7" t="s">
        <v>235</v>
      </c>
      <c r="B16" s="16" t="n">
        <v>7800</v>
      </c>
      <c r="C16" s="16" t="n">
        <v>7800</v>
      </c>
    </row>
    <row r="17" customFormat="false" ht="15" hidden="false" customHeight="false" outlineLevel="0" collapsed="false">
      <c r="A17" s="7" t="s">
        <v>236</v>
      </c>
      <c r="B17" s="17"/>
      <c r="C17" s="17"/>
    </row>
    <row r="18" customFormat="false" ht="15" hidden="false" customHeight="false" outlineLevel="0" collapsed="false">
      <c r="A18" s="7" t="s">
        <v>237</v>
      </c>
      <c r="B18" s="17"/>
      <c r="C18" s="17"/>
    </row>
    <row r="20" customFormat="false" ht="15" hidden="false" customHeight="false" outlineLevel="0" collapsed="false">
      <c r="A20" s="7" t="s">
        <v>238</v>
      </c>
      <c r="C20" s="17"/>
    </row>
    <row r="21" customFormat="false" ht="15" hidden="false" customHeight="false" outlineLevel="0" collapsed="false">
      <c r="A21" s="7" t="s">
        <v>239</v>
      </c>
      <c r="C21" s="17"/>
    </row>
    <row r="22" customFormat="false" ht="15" hidden="false" customHeight="false" outlineLevel="0" collapsed="false">
      <c r="A22" s="7" t="s">
        <v>240</v>
      </c>
      <c r="C22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40"/>
  </cols>
  <sheetData>
    <row r="1" customFormat="false" ht="30" hidden="false" customHeight="true" outlineLevel="0" collapsed="false">
      <c r="A1" s="1" t="s">
        <v>241</v>
      </c>
    </row>
    <row r="2" customFormat="false" ht="15" hidden="false" customHeight="false" outlineLevel="0" collapsed="false">
      <c r="A2" s="2" t="s">
        <v>242</v>
      </c>
    </row>
    <row r="4" customFormat="false" ht="30" hidden="false" customHeight="true" outlineLevel="0" collapsed="false">
      <c r="A4" s="6" t="s">
        <v>243</v>
      </c>
      <c r="B4" s="6" t="s">
        <v>67</v>
      </c>
      <c r="C4" s="6" t="s">
        <v>2</v>
      </c>
      <c r="D4" s="6" t="s">
        <v>244</v>
      </c>
    </row>
    <row r="5" customFormat="false" ht="30" hidden="false" customHeight="true" outlineLevel="0" collapsed="false">
      <c r="A5" s="32" t="s">
        <v>245</v>
      </c>
      <c r="B5" s="21" t="n">
        <v>0.818</v>
      </c>
      <c r="C5" s="26" t="n">
        <v>0.82</v>
      </c>
      <c r="D5" s="8" t="s">
        <v>246</v>
      </c>
    </row>
    <row r="6" customFormat="false" ht="30" hidden="false" customHeight="true" outlineLevel="0" collapsed="false">
      <c r="A6" s="32" t="s">
        <v>247</v>
      </c>
      <c r="B6" s="21" t="n">
        <v>0.078</v>
      </c>
      <c r="C6" s="26" t="n">
        <v>0.03</v>
      </c>
      <c r="D6" s="8" t="s">
        <v>248</v>
      </c>
    </row>
    <row r="7" customFormat="false" ht="30" hidden="false" customHeight="true" outlineLevel="0" collapsed="false">
      <c r="A7" s="32" t="s">
        <v>249</v>
      </c>
      <c r="B7" s="17"/>
      <c r="C7" s="33" t="n">
        <v>3</v>
      </c>
      <c r="D7" s="8" t="s">
        <v>250</v>
      </c>
    </row>
    <row r="8" customFormat="false" ht="30" hidden="false" customHeight="true" outlineLevel="0" collapsed="false">
      <c r="A8" s="32" t="s">
        <v>251</v>
      </c>
      <c r="B8" s="17"/>
      <c r="C8" s="33" t="n">
        <v>500</v>
      </c>
      <c r="D8" s="8" t="s">
        <v>252</v>
      </c>
    </row>
    <row r="9" customFormat="false" ht="30" hidden="false" customHeight="true" outlineLevel="0" collapsed="false">
      <c r="A9" s="32" t="s">
        <v>253</v>
      </c>
      <c r="B9" s="17"/>
      <c r="C9" s="33" t="n">
        <v>0</v>
      </c>
      <c r="D9" s="8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2026-10-24T23:10:19Z</dcterms:created>
  <dc:creator>openpyxl</dc:creator>
  <dc:description/>
  <dc:language>en-US</dc:language>
  <cp:lastModifiedBy/>
  <dcterms:modified xsi:type="dcterms:W3CDTF">2026-10-24T23:10:23Z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