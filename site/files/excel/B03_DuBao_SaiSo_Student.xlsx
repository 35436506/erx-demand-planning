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Data" sheetId="2" state="visible" r:id="rId4"/>
    <sheet name="Bai1_DuBao_Test" sheetId="3" state="visible" r:id="rId5"/>
    <sheet name="Bai2_BangSaiSo" sheetId="4" state="visible" r:id="rId6"/>
    <sheet name="Bai3_BaoCao5Dong" sheetId="5" state="visible" r:id="rId7"/>
    <sheet name="MoRong_ChiPh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6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7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8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9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0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1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2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3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4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5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6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7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8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19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0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1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2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3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4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5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6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7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8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29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0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1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2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3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4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5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6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7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8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39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D40" authorId="0">
      <text>
        <r>
          <rPr>
            <sz val="10"/>
            <rFont val="Arial"/>
            <family val="2"/>
          </rPr>
          <t xml:space="preserve">Số thực tế tháng cuối train (03/2026)</t>
        </r>
      </text>
    </comment>
    <comment ref="E5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6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7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8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9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0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1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2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3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4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5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6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7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8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19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0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1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2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3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4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5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6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7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8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29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0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1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2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3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4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5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6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7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8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39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E40" authorId="0">
      <text>
        <r>
          <rPr>
            <sz val="10"/>
            <rFont val="Arial"/>
            <family val="2"/>
          </rPr>
          <t xml:space="preserve">Cùng tháng năm trước (12 dòng phía trên trong Data)</t>
        </r>
      </text>
    </comment>
    <comment ref="F5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6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7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8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9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0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1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2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3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4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5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6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7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8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19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0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1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2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3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4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5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6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7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8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29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0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1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2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3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4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5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6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7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8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39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F40" authorId="0">
      <text>
        <r>
          <rPr>
            <sz val="10"/>
            <rFont val="Arial"/>
            <family val="2"/>
          </rPr>
          <t xml:space="preserve">TB 3 tháng cuối train, cố định</t>
        </r>
      </text>
    </comment>
    <comment ref="G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1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2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3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G4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1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2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3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H4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1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2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0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1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2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3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4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5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6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7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8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39" authorId="0">
      <text>
        <r>
          <rPr>
            <sz val="10"/>
            <rFont val="Arial"/>
            <family val="2"/>
          </rPr>
          <t xml:space="preserve">e = Actual − Forecast</t>
        </r>
      </text>
    </comment>
    <comment ref="I40" authorId="0">
      <text>
        <r>
          <rPr>
            <sz val="10"/>
            <rFont val="Arial"/>
            <family val="2"/>
          </rPr>
          <t xml:space="preserve">e = Actual − Forecast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=AVERAGE(e)</t>
        </r>
      </text>
    </comment>
    <comment ref="C6" authorId="0">
      <text>
        <r>
          <rPr>
            <sz val="10"/>
            <rFont val="Arial"/>
            <family val="2"/>
          </rPr>
          <t xml:space="preserve">=AVERAGE(e)</t>
        </r>
      </text>
    </comment>
    <comment ref="C7" authorId="0">
      <text>
        <r>
          <rPr>
            <sz val="10"/>
            <rFont val="Arial"/>
            <family val="2"/>
          </rPr>
          <t xml:space="preserve">=AVERAGE(e)</t>
        </r>
      </text>
    </comment>
    <comment ref="C8" authorId="0">
      <text>
        <r>
          <rPr>
            <sz val="10"/>
            <rFont val="Arial"/>
            <family val="2"/>
          </rPr>
          <t xml:space="preserve">=AVERAGE(e)</t>
        </r>
      </text>
    </comment>
    <comment ref="C9" authorId="0">
      <text>
        <r>
          <rPr>
            <sz val="10"/>
            <rFont val="Arial"/>
            <family val="2"/>
          </rPr>
          <t xml:space="preserve">=AVERAGE(e)</t>
        </r>
      </text>
    </comment>
    <comment ref="C10" authorId="0">
      <text>
        <r>
          <rPr>
            <sz val="10"/>
            <rFont val="Arial"/>
            <family val="2"/>
          </rPr>
          <t xml:space="preserve">=AVERAGE(e)</t>
        </r>
      </text>
    </comment>
    <comment ref="C11" authorId="0">
      <text>
        <r>
          <rPr>
            <sz val="10"/>
            <rFont val="Arial"/>
            <family val="2"/>
          </rPr>
          <t xml:space="preserve">=AVERAGE(e)</t>
        </r>
      </text>
    </comment>
    <comment ref="C12" authorId="0">
      <text>
        <r>
          <rPr>
            <sz val="10"/>
            <rFont val="Arial"/>
            <family val="2"/>
          </rPr>
          <t xml:space="preserve">=AVERAGE(e)</t>
        </r>
      </text>
    </comment>
    <comment ref="C13" authorId="0">
      <text>
        <r>
          <rPr>
            <sz val="10"/>
            <rFont val="Arial"/>
            <family val="2"/>
          </rPr>
          <t xml:space="preserve">=AVERAGE(e)</t>
        </r>
      </text>
    </comment>
    <comment ref="C14" authorId="0">
      <text>
        <r>
          <rPr>
            <sz val="10"/>
            <rFont val="Arial"/>
            <family val="2"/>
          </rPr>
          <t xml:space="preserve">=AVERAGE(e)</t>
        </r>
      </text>
    </comment>
    <comment ref="C15" authorId="0">
      <text>
        <r>
          <rPr>
            <sz val="10"/>
            <rFont val="Arial"/>
            <family val="2"/>
          </rPr>
          <t xml:space="preserve">=AVERAGE(e)</t>
        </r>
      </text>
    </comment>
    <comment ref="C16" authorId="0">
      <text>
        <r>
          <rPr>
            <sz val="10"/>
            <rFont val="Arial"/>
            <family val="2"/>
          </rPr>
          <t xml:space="preserve">=AVERAGE(e)</t>
        </r>
      </text>
    </comment>
    <comment ref="C17" authorId="0">
      <text>
        <r>
          <rPr>
            <sz val="10"/>
            <rFont val="Arial"/>
            <family val="2"/>
          </rPr>
          <t xml:space="preserve">=AVERAGE(e)</t>
        </r>
      </text>
    </comment>
    <comment ref="C18" authorId="0">
      <text>
        <r>
          <rPr>
            <sz val="10"/>
            <rFont val="Arial"/>
            <family val="2"/>
          </rPr>
          <t xml:space="preserve">=AVERAGE(e)</t>
        </r>
      </text>
    </comment>
    <comment ref="C19" authorId="0">
      <text>
        <r>
          <rPr>
            <sz val="10"/>
            <rFont val="Arial"/>
            <family val="2"/>
          </rPr>
          <t xml:space="preserve">=AVERAGE(e)</t>
        </r>
      </text>
    </comment>
    <comment ref="C20" authorId="0">
      <text>
        <r>
          <rPr>
            <sz val="10"/>
            <rFont val="Arial"/>
            <family val="2"/>
          </rPr>
          <t xml:space="preserve">=AVERAGE(e)</t>
        </r>
      </text>
    </comment>
    <comment ref="C21" authorId="0">
      <text>
        <r>
          <rPr>
            <sz val="10"/>
            <rFont val="Arial"/>
            <family val="2"/>
          </rPr>
          <t xml:space="preserve">=AVERAGE(e)</t>
        </r>
      </text>
    </comment>
    <comment ref="C22" authorId="0">
      <text>
        <r>
          <rPr>
            <sz val="10"/>
            <rFont val="Arial"/>
            <family val="2"/>
          </rPr>
          <t xml:space="preserve">=AVERAGE(e)</t>
        </r>
      </text>
    </comment>
    <comment ref="D5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6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7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8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9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0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1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2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3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4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5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6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7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8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19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20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21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D22" authorId="0">
      <text>
        <r>
          <rPr>
            <sz val="10"/>
            <rFont val="Arial"/>
            <family val="2"/>
          </rPr>
          <t xml:space="preserve">=SUMPRODUCT(ABS(e))/n</t>
        </r>
      </text>
    </comment>
    <comment ref="E5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6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7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8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9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0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1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2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3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4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5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6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7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8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19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20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21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E22" authorId="0">
      <text>
        <r>
          <rPr>
            <sz val="10"/>
            <rFont val="Arial"/>
            <family val="2"/>
          </rPr>
          <t xml:space="preserve">=SQRT(SUMSQ(e)/n)</t>
        </r>
      </text>
    </comment>
    <comment ref="F5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6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7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8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9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0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1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2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3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4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5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6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7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8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19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20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21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F22" authorId="0">
      <text>
        <r>
          <rPr>
            <sz val="10"/>
            <rFont val="Arial"/>
            <family val="2"/>
          </rPr>
          <t xml:space="preserve">TB của |e|/Actual, bỏ qua tháng Actual = 0</t>
        </r>
      </text>
    </comment>
    <comment ref="G5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6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7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8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9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0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1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2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3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4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5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6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7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8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19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20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21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G22" authorId="0">
      <text>
        <r>
          <rPr>
            <sz val="10"/>
            <rFont val="Arial"/>
            <family val="2"/>
          </rPr>
          <t xml:space="preserve">=Σ|e| / ΣActual</t>
        </r>
      </text>
    </comment>
    <comment ref="H5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6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7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8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9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0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1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2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3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4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5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6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7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8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19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20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21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  <comment ref="H22" authorId="0">
      <text>
        <r>
          <rPr>
            <sz val="10"/>
            <rFont val="Arial"/>
            <family val="2"/>
          </rPr>
          <t xml:space="preserve">=MAE / MAE Naive trên train (Data, dòng Thang đo MASE)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=30×thiếu + 5×dư</t>
        </r>
      </text>
    </comment>
    <comment ref="G6" authorId="0">
      <text>
        <r>
          <rPr>
            <sz val="10"/>
            <rFont val="Arial"/>
            <family val="2"/>
          </rPr>
          <t xml:space="preserve">=30×thiếu + 5×dư</t>
        </r>
      </text>
    </comment>
    <comment ref="G7" authorId="0">
      <text>
        <r>
          <rPr>
            <sz val="10"/>
            <rFont val="Arial"/>
            <family val="2"/>
          </rPr>
          <t xml:space="preserve">=30×thiếu + 5×dư</t>
        </r>
      </text>
    </comment>
    <comment ref="G8" authorId="0">
      <text>
        <r>
          <rPr>
            <sz val="10"/>
            <rFont val="Arial"/>
            <family val="2"/>
          </rPr>
          <t xml:space="preserve">=30×thiếu + 5×dư</t>
        </r>
      </text>
    </comment>
    <comment ref="G9" authorId="0">
      <text>
        <r>
          <rPr>
            <sz val="10"/>
            <rFont val="Arial"/>
            <family val="2"/>
          </rPr>
          <t xml:space="preserve">=30×thiếu + 5×dư</t>
        </r>
      </text>
    </comment>
    <comment ref="G10" authorId="0">
      <text>
        <r>
          <rPr>
            <sz val="10"/>
            <rFont val="Arial"/>
            <family val="2"/>
          </rPr>
          <t xml:space="preserve">=30×thiếu + 5×dư</t>
        </r>
      </text>
    </comment>
  </commentList>
</comments>
</file>

<file path=xl/sharedStrings.xml><?xml version="1.0" encoding="utf-8"?>
<sst xmlns="http://schemas.openxmlformats.org/spreadsheetml/2006/main" count="296" uniqueCount="144">
  <si>
    <t xml:space="preserve">BUỔI 3 · DỰ BÁO ĐẦU TIÊN VÀ ĐO SAI SỐ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</si>
  <si>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</si>
  <si>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</si>
  <si>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</si>
  <si>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Làm 3 dự báo mốc: Naive, Seasonal Naive, Moving Average 3 tháng.</t>
  </si>
  <si>
    <t xml:space="preserve">Chia dữ liệu: 30 tháng TRAIN (10/2023–03/2026) và 6 tháng TEST (04–09/2026); chỉ chấm trên TEST.</t>
  </si>
  <si>
    <t xml:space="preserve">Tính ME (Bias), MAE, RMSE, MAPE, WMAPE, MASE và giải thích mỗi thước đo trả lời câu hỏi gì.</t>
  </si>
  <si>
    <t xml:space="preserve">Viết báo cáo độ chính xác 5 dòng cho trưởng phòng.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</si>
  <si>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</si>
  <si>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</si>
  <si>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</si>
  <si>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</si>
  <si>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Data</t>
  </si>
  <si>
    <t xml:space="preserve">Nhu cầu ĐÃ LÀM SẠCH (bản chuẩn của lớp sau Buổi 2) cho 6 chuỗi; cột thang đo MASE đã cho sẵn công thức mẫu.</t>
  </si>
  <si>
    <t xml:space="preserve">3'</t>
  </si>
  <si>
    <t xml:space="preserve">Bai1_DuBao_Test</t>
  </si>
  <si>
    <t xml:space="preserve">Điền dự báo 3 phương pháp cho 6 tháng test (dự báo chốt tại cuối 03/2026, không dùng số thực tế của test) và sai số e.</t>
  </si>
  <si>
    <t xml:space="preserve">20'</t>
  </si>
  <si>
    <t xml:space="preserve">Bai2_BangSaiSo</t>
  </si>
  <si>
    <t xml:space="preserve">Tính 6 thước đo cho 6 chuỗi × 3 phương pháp; xếp hạng; quan sát MAPE của H02.</t>
  </si>
  <si>
    <t xml:space="preserve">Bai3_BaoCao5Dong</t>
  </si>
  <si>
    <t xml:space="preserve">Viết 5 dòng: kết luận, con số, phương pháp đề xuất, cảnh báo, việc cần làm.</t>
  </si>
  <si>
    <t xml:space="preserve">10'</t>
  </si>
  <si>
    <t xml:space="preserve">MoRong_ChiPhi</t>
  </si>
  <si>
    <t xml:space="preserve">(Case Bếp Bánh Sáng Mai) Dự báo chính xác hơn có rẻ hơn không? So MAE với chi phí thiếu/dư.</t>
  </si>
  <si>
    <t xml:space="preserve">10'+</t>
  </si>
  <si>
    <t xml:space="preserve">Dữ liệu</t>
  </si>
  <si>
    <t xml:space="preserve">Bảng demand_clean: S01 giữ nguyên tháng sự kiện 06/2024 (nằm trong train). H02 là mã HoReCa rời rạc.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</si>
  <si>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</si>
  <si>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</si>
  <si>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</si>
  <si>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</si>
  <si>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</si>
  <si>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</si>
  <si>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</si>
  <si>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Quy ước e = Actual − Forecast. ME &gt; 0: dự báo thấp (under-forecast).</t>
  </si>
  <si>
    <t xml:space="preserve">Dự báo chốt tại origin = cuối train; cả 6 tháng test dùng cùng một bộ thông tin (giống thực tế khi chốt kế hoạch).</t>
  </si>
  <si>
    <t xml:space="preserve">MAPE bỏ qua tháng actual = 0 (không chia được) — đó cũng là lý do MAPE không phù hợp với mã rời rạc.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</si>
  <si>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</si>
  <si>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Dữ liệu nhu cầu đã làm sạch</t>
  </si>
  <si>
    <t xml:space="preserve">Dòng 5–34: TRAIN · Dòng 35–40: TEST (tô xanh nhạt).</t>
  </si>
  <si>
    <t xml:space="preserve">Tháng</t>
  </si>
  <si>
    <t xml:space="preserve">Phần</t>
  </si>
  <si>
    <t xml:space="preserve">N01 GT</t>
  </si>
  <si>
    <t xml:space="preserve">N02 GT</t>
  </si>
  <si>
    <t xml:space="preserve">S01 GT</t>
  </si>
  <si>
    <t xml:space="preserve">B01 GT</t>
  </si>
  <si>
    <t xml:space="preserve">S05 GT</t>
  </si>
  <si>
    <t xml:space="preserve">H02 GT</t>
  </si>
  <si>
    <t xml:space="preserve">|Δ| N01 GT</t>
  </si>
  <si>
    <t xml:space="preserve">|Δ| N02 GT</t>
  </si>
  <si>
    <t xml:space="preserve">|Δ| S01 GT</t>
  </si>
  <si>
    <t xml:space="preserve">|Δ| B01 GT</t>
  </si>
  <si>
    <t xml:space="preserve">|Δ| S05 GT</t>
  </si>
  <si>
    <t xml:space="preserve">|Δ| H02 GT</t>
  </si>
  <si>
    <t xml:space="preserve">2023-10</t>
  </si>
  <si>
    <t xml:space="preserve">Train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</si>
  <si>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</si>
  <si>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</si>
  <si>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</si>
  <si>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</si>
  <si>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</si>
  <si>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</si>
  <si>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</si>
  <si>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</si>
  <si>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</si>
  <si>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</si>
  <si>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</si>
  <si>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</si>
  <si>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</si>
  <si>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</si>
  <si>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</si>
  <si>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</si>
  <si>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</si>
  <si>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</si>
  <si>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</si>
  <si>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</si>
  <si>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</si>
  <si>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</si>
  <si>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</si>
  <si>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</si>
  <si>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</si>
  <si>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</si>
  <si>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</si>
  <si>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</si>
  <si>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</si>
  <si>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</si>
  <si>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Test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</si>
  <si>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</si>
  <si>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</si>
  <si>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</si>
  <si>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</si>
  <si>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</si>
  <si>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Thang đo MASE</t>
  </si>
  <si>
    <t xml:space="preserve">MAE Naive trên train</t>
  </si>
  <si>
    <t xml:space="preserve">Bài 1 · Dự báo 6 tháng TEST bằng 3 phương pháp mốc</t>
  </si>
  <si>
    <t xml:space="preserve">Origin = 03/2026. Naive: số tháng 03/2026. Seasonal Naive: cùng tháng năm trước. MA(3): TB 01–03/2026.</t>
  </si>
  <si>
    <t xml:space="preserve">Chuỗi</t>
  </si>
  <si>
    <t xml:space="preserve">Actual</t>
  </si>
  <si>
    <t xml:space="preserve">F Naive</t>
  </si>
  <si>
    <t xml:space="preserve">F Seasonal Naive</t>
  </si>
  <si>
    <t xml:space="preserve">F MA(3)</t>
  </si>
  <si>
    <t xml:space="preserve">e Naive</t>
  </si>
  <si>
    <t xml:space="preserve">e S.Naive</t>
  </si>
  <si>
    <t xml:space="preserve">e MA(3)</t>
  </si>
  <si>
    <t xml:space="preserve">Bài 2 · Bảng sai số trên TEST</t>
  </si>
  <si>
    <t xml:space="preserve">Mỗi dòng: một chuỗi × một phương pháp. Hạng = thứ hạng WMAPE trong cùng chuỗi (1 = tốt nhất).</t>
  </si>
  <si>
    <t xml:space="preserve">Phương pháp</t>
  </si>
  <si>
    <t xml:space="preserve">ME (Bias)</t>
  </si>
  <si>
    <t xml:space="preserve">MAE</t>
  </si>
  <si>
    <t xml:space="preserve">RMSE</t>
  </si>
  <si>
    <t xml:space="preserve">MAPE</t>
  </si>
  <si>
    <t xml:space="preserve">WMAPE</t>
  </si>
  <si>
    <t xml:space="preserve">MASE</t>
  </si>
  <si>
    <t xml:space="preserve">Hạng</t>
  </si>
  <si>
    <t xml:space="preserve">Naive</t>
  </si>
  <si>
    <t xml:space="preserve">Seasonal Naive</t>
  </si>
  <si>
    <t xml:space="preserve">MA(3)</t>
  </si>
  <si>
    <t xml:space="preserve">Đọc kết quả: (1) Vì sao Naive thắng ở N01 nhưng thua đậm ở B01? (2) H02: MAPE vài trăm % nhưng MASE &lt; 1 — tin thước đo nào? (3) ME âm/dương nói gì về cách đặt hàng?</t>
  </si>
  <si>
    <t xml:space="preserve">Bài 3 · Báo cáo độ chính xác 5 dòng gửi trưởng phòng</t>
  </si>
  <si>
    <t xml:space="preserve">Viết ngắn, có con số, có hành động. Bản đáp án có một bài mẫu.</t>
  </si>
  <si>
    <t xml:space="preserve">Dòng</t>
  </si>
  <si>
    <t xml:space="preserve">Nội dung</t>
  </si>
  <si>
    <t xml:space="preserve">1. Kết luận</t>
  </si>
  <si>
    <t xml:space="preserve">2. Con số chính</t>
  </si>
  <si>
    <t xml:space="preserve">3. Đề xuất</t>
  </si>
  <si>
    <t xml:space="preserve">4. Cảnh báo</t>
  </si>
  <si>
    <t xml:space="preserve">5. Việc tiếp theo</t>
  </si>
  <si>
    <t xml:space="preserve">Mở rộng · Dự báo chính xác hơn nhưng tốn tiền hơn? (Bếp Bánh Sáng Mai)</t>
  </si>
  <si>
    <t xml:space="preserve">Làm bánh một lần/ngày, hết ngày thanh lý. Thiếu 1 bánh mất 30, dư 1 bánh mất 5 (nghìn đồng).</t>
  </si>
  <si>
    <t xml:space="preserve">Ngày</t>
  </si>
  <si>
    <t xml:space="preserve">Nhu cầu</t>
  </si>
  <si>
    <t xml:space="preserve">F A</t>
  </si>
  <si>
    <t xml:space="preserve">F B</t>
  </si>
  <si>
    <t xml:space="preserve">e A</t>
  </si>
  <si>
    <t xml:space="preserve">e B</t>
  </si>
  <si>
    <t xml:space="preserve">Chi phí A</t>
  </si>
  <si>
    <t xml:space="preserve">Chi phí B</t>
  </si>
  <si>
    <t xml:space="preserve">Tham số</t>
  </si>
  <si>
    <t xml:space="preserve">Giá trị</t>
  </si>
  <si>
    <t xml:space="preserve">Chi phí thiếu / bánh</t>
  </si>
  <si>
    <t xml:space="preserve">Chi phí dư ròng / bánh</t>
  </si>
  <si>
    <t xml:space="preserve">Tổng chi phí</t>
  </si>
  <si>
    <t xml:space="preserve">A có MAE thấp hơn nhưng tốn gấp đôi chi phí: khi thiếu đắt hơn dư nhiều lần, nên cố ý dự báo/đặt cao hơn (bias có chủ đích → Buổi 9: mức phục vụ).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</si>
</sst>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080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77B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23.85" hidden="false" customHeight="false" outlineLevel="0" collapsed="false">
      <c r="B8" s="4" t="s">
        <v>3</v>
      </c>
      <c r="C8" s="5" t="s">
        <v>5</v>
      </c>
    </row>
    <row r="9" customFormat="false" ht="23.85" hidden="false" customHeight="false" outlineLevel="0" collapsed="false">
      <c r="B9" s="4" t="s">
        <v>3</v>
      </c>
      <c r="C9" s="5" t="s">
        <v>6</v>
      </c>
    </row>
    <row r="10" customFormat="false" ht="15" hidden="false" customHeight="false" outlineLevel="0" collapsed="false">
      <c r="B10" s="4" t="s">
        <v>3</v>
      </c>
      <c r="C10" s="5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6" t="s">
        <v>9</v>
      </c>
      <c r="C13" s="6" t="s">
        <v>10</v>
      </c>
      <c r="D13" s="6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  <c r="D14" s="9" t="s">
        <v>14</v>
      </c>
    </row>
    <row r="15" customFormat="false" ht="30" hidden="false" customHeight="true" outlineLevel="0" collapsed="false">
      <c r="B15" s="7" t="s">
        <v>15</v>
      </c>
      <c r="C15" s="8" t="s">
        <v>16</v>
      </c>
      <c r="D15" s="9" t="s">
        <v>17</v>
      </c>
    </row>
    <row r="16" customFormat="false" ht="30" hidden="false" customHeight="true" outlineLevel="0" collapsed="false">
      <c r="B16" s="7" t="s">
        <v>18</v>
      </c>
      <c r="C16" s="8" t="s">
        <v>19</v>
      </c>
      <c r="D16" s="9" t="s">
        <v>17</v>
      </c>
    </row>
    <row r="17" customFormat="false" ht="30" hidden="false" customHeight="true" outlineLevel="0" collapsed="false">
      <c r="B17" s="7" t="s">
        <v>20</v>
      </c>
      <c r="C17" s="8" t="s">
        <v>21</v>
      </c>
      <c r="D17" s="9" t="s">
        <v>22</v>
      </c>
    </row>
    <row r="18" customFormat="false" ht="30" hidden="false" customHeight="true" outlineLevel="0" collapsed="false">
      <c r="B18" s="7" t="s">
        <v>23</v>
      </c>
      <c r="C18" s="8" t="s">
        <v>24</v>
      </c>
      <c r="D18" s="9" t="s">
        <v>25</v>
      </c>
    </row>
    <row r="20" customFormat="false" ht="15" hidden="false" customHeight="false" outlineLevel="0" collapsed="false">
      <c r="B20" s="3" t="s">
        <v>26</v>
      </c>
    </row>
    <row r="21" customFormat="false" ht="30" hidden="false" customHeight="true" outlineLevel="0" collapsed="false">
      <c r="C21" s="5" t="s">
        <v>27</v>
      </c>
    </row>
    <row r="23" customFormat="false" ht="15" hidden="false" customHeight="false" outlineLevel="0" collapsed="false">
      <c r="B23" s="3" t="s">
        <v>28</v>
      </c>
    </row>
    <row r="24" customFormat="false" ht="15" hidden="false" customHeight="false" outlineLevel="0" collapsed="false">
      <c r="B24" s="10" t="s">
        <v>29</v>
      </c>
      <c r="C24" s="4" t="s">
        <v>30</v>
      </c>
    </row>
    <row r="25" customFormat="false" ht="15" hidden="false" customHeight="false" outlineLevel="0" collapsed="false">
      <c r="B25" s="11" t="s">
        <v>29</v>
      </c>
      <c r="C25" s="4" t="s">
        <v>31</v>
      </c>
    </row>
    <row r="26" customFormat="false" ht="15" hidden="false" customHeight="false" outlineLevel="0" collapsed="false">
      <c r="B26" s="12" t="s">
        <v>29</v>
      </c>
      <c r="C26" s="4" t="s">
        <v>32</v>
      </c>
    </row>
    <row r="27" customFormat="false" ht="15" hidden="false" customHeight="false" outlineLevel="0" collapsed="false">
      <c r="B27" s="13" t="s">
        <v>29</v>
      </c>
      <c r="C27" s="4" t="s">
        <v>33</v>
      </c>
    </row>
    <row r="29" customFormat="false" ht="15" hidden="false" customHeight="false" outlineLevel="0" collapsed="false">
      <c r="B29" s="3" t="s">
        <v>34</v>
      </c>
    </row>
    <row r="30" customFormat="false" ht="15" hidden="false" customHeight="true" outlineLevel="0" collapsed="false">
      <c r="B30" s="4" t="s">
        <v>3</v>
      </c>
      <c r="C30" s="5" t="s">
        <v>35</v>
      </c>
    </row>
    <row r="31" customFormat="false" ht="30" hidden="false" customHeight="true" outlineLevel="0" collapsed="false">
      <c r="B31" s="4" t="s">
        <v>3</v>
      </c>
      <c r="C31" s="5" t="s">
        <v>36</v>
      </c>
    </row>
    <row r="32" customFormat="false" ht="30" hidden="false" customHeight="true" outlineLevel="0" collapsed="false">
      <c r="B32" s="4" t="s">
        <v>3</v>
      </c>
      <c r="C32" s="5" t="s">
        <v>37</v>
      </c>
    </row>
    <row r="34" customFormat="false" ht="15" hidden="false" customHeight="false" outlineLevel="0" collapsed="false">
      <c r="B34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14" min="3" style="0" width="11"/>
  </cols>
  <sheetData>
    <row r="1" customFormat="false" ht="30" hidden="false" customHeight="tru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30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6" t="s">
        <v>51</v>
      </c>
      <c r="L4" s="6" t="s">
        <v>52</v>
      </c>
      <c r="M4" s="6" t="s">
        <v>53</v>
      </c>
      <c r="N4" s="6" t="s">
        <v>54</v>
      </c>
    </row>
    <row r="5" customFormat="false" ht="15" hidden="false" customHeight="false" outlineLevel="0" collapsed="false">
      <c r="A5" s="14" t="s">
        <v>55</v>
      </c>
      <c r="B5" s="14" t="s">
        <v>56</v>
      </c>
      <c r="C5" s="15" t="n">
        <v>49518</v>
      </c>
      <c r="D5" s="15" t="n">
        <v>19251</v>
      </c>
      <c r="E5" s="15" t="n">
        <v>8455</v>
      </c>
      <c r="F5" s="15" t="n">
        <v>9030</v>
      </c>
      <c r="G5" s="15" t="n">
        <v>2749</v>
      </c>
      <c r="H5" s="15" t="n">
        <v>418</v>
      </c>
    </row>
    <row r="6" customFormat="false" ht="15" hidden="false" customHeight="false" outlineLevel="0" collapsed="false">
      <c r="A6" s="14" t="s">
        <v>57</v>
      </c>
      <c r="B6" s="14" t="s">
        <v>56</v>
      </c>
      <c r="C6" s="15" t="n">
        <v>39293</v>
      </c>
      <c r="D6" s="15" t="n">
        <v>19488</v>
      </c>
      <c r="E6" s="15" t="n">
        <v>8881</v>
      </c>
      <c r="F6" s="15" t="n">
        <v>10818</v>
      </c>
      <c r="G6" s="15" t="n">
        <v>2804</v>
      </c>
      <c r="H6" s="15" t="n">
        <v>0</v>
      </c>
      <c r="I6" s="15" t="n">
        <f aca="false">ABS(C6-C5)</f>
        <v>10225</v>
      </c>
      <c r="J6" s="15" t="n">
        <f aca="false">ABS(D6-D5)</f>
        <v>237</v>
      </c>
      <c r="K6" s="15" t="n">
        <f aca="false">ABS(E6-E5)</f>
        <v>426</v>
      </c>
      <c r="L6" s="15" t="n">
        <f aca="false">ABS(F6-F5)</f>
        <v>1788</v>
      </c>
      <c r="M6" s="15" t="n">
        <f aca="false">ABS(G6-G5)</f>
        <v>55</v>
      </c>
      <c r="N6" s="15" t="n">
        <f aca="false">ABS(H6-H5)</f>
        <v>418</v>
      </c>
    </row>
    <row r="7" customFormat="false" ht="15" hidden="false" customHeight="false" outlineLevel="0" collapsed="false">
      <c r="A7" s="14" t="s">
        <v>58</v>
      </c>
      <c r="B7" s="14" t="s">
        <v>56</v>
      </c>
      <c r="C7" s="15" t="n">
        <v>36704</v>
      </c>
      <c r="D7" s="15" t="n">
        <v>15801</v>
      </c>
      <c r="E7" s="15" t="n">
        <v>9215</v>
      </c>
      <c r="F7" s="15" t="n">
        <v>9463</v>
      </c>
      <c r="G7" s="15" t="n">
        <v>2393</v>
      </c>
      <c r="H7" s="15" t="n">
        <v>211</v>
      </c>
      <c r="I7" s="15" t="n">
        <f aca="false">ABS(C7-C6)</f>
        <v>2589</v>
      </c>
      <c r="J7" s="15" t="n">
        <f aca="false">ABS(D7-D6)</f>
        <v>3687</v>
      </c>
      <c r="K7" s="15" t="n">
        <f aca="false">ABS(E7-E6)</f>
        <v>334</v>
      </c>
      <c r="L7" s="15" t="n">
        <f aca="false">ABS(F7-F6)</f>
        <v>1355</v>
      </c>
      <c r="M7" s="15" t="n">
        <f aca="false">ABS(G7-G6)</f>
        <v>411</v>
      </c>
      <c r="N7" s="15" t="n">
        <f aca="false">ABS(H7-H6)</f>
        <v>211</v>
      </c>
    </row>
    <row r="8" customFormat="false" ht="15" hidden="false" customHeight="false" outlineLevel="0" collapsed="false">
      <c r="A8" s="14" t="s">
        <v>59</v>
      </c>
      <c r="B8" s="14" t="s">
        <v>56</v>
      </c>
      <c r="C8" s="15" t="n">
        <v>46985</v>
      </c>
      <c r="D8" s="15" t="n">
        <v>18541</v>
      </c>
      <c r="E8" s="15" t="n">
        <v>12879</v>
      </c>
      <c r="F8" s="15" t="n">
        <v>7528</v>
      </c>
      <c r="G8" s="15" t="n">
        <v>2325</v>
      </c>
      <c r="H8" s="15" t="n">
        <v>0</v>
      </c>
      <c r="I8" s="15" t="n">
        <f aca="false">ABS(C8-C7)</f>
        <v>10281</v>
      </c>
      <c r="J8" s="15" t="n">
        <f aca="false">ABS(D8-D7)</f>
        <v>2740</v>
      </c>
      <c r="K8" s="15" t="n">
        <f aca="false">ABS(E8-E7)</f>
        <v>3664</v>
      </c>
      <c r="L8" s="15" t="n">
        <f aca="false">ABS(F8-F7)</f>
        <v>1935</v>
      </c>
      <c r="M8" s="15" t="n">
        <f aca="false">ABS(G8-G7)</f>
        <v>68</v>
      </c>
      <c r="N8" s="15" t="n">
        <f aca="false">ABS(H8-H7)</f>
        <v>211</v>
      </c>
    </row>
    <row r="9" customFormat="false" ht="15" hidden="false" customHeight="false" outlineLevel="0" collapsed="false">
      <c r="A9" s="14" t="s">
        <v>60</v>
      </c>
      <c r="B9" s="14" t="s">
        <v>56</v>
      </c>
      <c r="C9" s="15" t="n">
        <v>40022</v>
      </c>
      <c r="D9" s="15" t="n">
        <v>14046</v>
      </c>
      <c r="E9" s="15" t="n">
        <v>8537</v>
      </c>
      <c r="F9" s="15" t="n">
        <v>10148</v>
      </c>
      <c r="G9" s="15" t="n">
        <v>1766</v>
      </c>
      <c r="H9" s="15" t="n">
        <v>181</v>
      </c>
      <c r="I9" s="15" t="n">
        <f aca="false">ABS(C9-C8)</f>
        <v>6963</v>
      </c>
      <c r="J9" s="15" t="n">
        <f aca="false">ABS(D9-D8)</f>
        <v>4495</v>
      </c>
      <c r="K9" s="15" t="n">
        <f aca="false">ABS(E9-E8)</f>
        <v>4342</v>
      </c>
      <c r="L9" s="15" t="n">
        <f aca="false">ABS(F9-F8)</f>
        <v>2620</v>
      </c>
      <c r="M9" s="15" t="n">
        <f aca="false">ABS(G9-G8)</f>
        <v>559</v>
      </c>
      <c r="N9" s="15" t="n">
        <f aca="false">ABS(H9-H8)</f>
        <v>181</v>
      </c>
    </row>
    <row r="10" customFormat="false" ht="15" hidden="false" customHeight="false" outlineLevel="0" collapsed="false">
      <c r="A10" s="14" t="s">
        <v>61</v>
      </c>
      <c r="B10" s="14" t="s">
        <v>56</v>
      </c>
      <c r="C10" s="15" t="n">
        <v>39799</v>
      </c>
      <c r="D10" s="15" t="n">
        <v>15092</v>
      </c>
      <c r="E10" s="15" t="n">
        <v>10625</v>
      </c>
      <c r="F10" s="15" t="n">
        <v>11681</v>
      </c>
      <c r="G10" s="15" t="n">
        <v>2252</v>
      </c>
      <c r="H10" s="15" t="n">
        <v>0</v>
      </c>
      <c r="I10" s="15" t="n">
        <f aca="false">ABS(C10-C9)</f>
        <v>223</v>
      </c>
      <c r="J10" s="15" t="n">
        <f aca="false">ABS(D10-D9)</f>
        <v>1046</v>
      </c>
      <c r="K10" s="15" t="n">
        <f aca="false">ABS(E10-E9)</f>
        <v>2088</v>
      </c>
      <c r="L10" s="15" t="n">
        <f aca="false">ABS(F10-F9)</f>
        <v>1533</v>
      </c>
      <c r="M10" s="15" t="n">
        <f aca="false">ABS(G10-G9)</f>
        <v>486</v>
      </c>
      <c r="N10" s="15" t="n">
        <f aca="false">ABS(H10-H9)</f>
        <v>181</v>
      </c>
    </row>
    <row r="11" customFormat="false" ht="15" hidden="false" customHeight="false" outlineLevel="0" collapsed="false">
      <c r="A11" s="14" t="s">
        <v>62</v>
      </c>
      <c r="B11" s="14" t="s">
        <v>56</v>
      </c>
      <c r="C11" s="15" t="n">
        <v>38450</v>
      </c>
      <c r="D11" s="15" t="n">
        <v>16100</v>
      </c>
      <c r="E11" s="15" t="n">
        <v>8777</v>
      </c>
      <c r="F11" s="15" t="n">
        <v>15566</v>
      </c>
      <c r="G11" s="15" t="n">
        <v>2282</v>
      </c>
      <c r="H11" s="15" t="n">
        <v>655</v>
      </c>
      <c r="I11" s="15" t="n">
        <f aca="false">ABS(C11-C10)</f>
        <v>1349</v>
      </c>
      <c r="J11" s="15" t="n">
        <f aca="false">ABS(D11-D10)</f>
        <v>1008</v>
      </c>
      <c r="K11" s="15" t="n">
        <f aca="false">ABS(E11-E10)</f>
        <v>1848</v>
      </c>
      <c r="L11" s="15" t="n">
        <f aca="false">ABS(F11-F10)</f>
        <v>3885</v>
      </c>
      <c r="M11" s="15" t="n">
        <f aca="false">ABS(G11-G10)</f>
        <v>30</v>
      </c>
      <c r="N11" s="15" t="n">
        <f aca="false">ABS(H11-H10)</f>
        <v>655</v>
      </c>
    </row>
    <row r="12" customFormat="false" ht="15" hidden="false" customHeight="false" outlineLevel="0" collapsed="false">
      <c r="A12" s="14" t="s">
        <v>63</v>
      </c>
      <c r="B12" s="14" t="s">
        <v>56</v>
      </c>
      <c r="C12" s="15" t="n">
        <v>38657</v>
      </c>
      <c r="D12" s="15" t="n">
        <v>13428</v>
      </c>
      <c r="E12" s="15" t="n">
        <v>9354</v>
      </c>
      <c r="F12" s="15" t="n">
        <v>16912</v>
      </c>
      <c r="G12" s="15" t="n">
        <v>2550</v>
      </c>
      <c r="H12" s="15" t="n">
        <v>0</v>
      </c>
      <c r="I12" s="15" t="n">
        <f aca="false">ABS(C12-C11)</f>
        <v>207</v>
      </c>
      <c r="J12" s="15" t="n">
        <f aca="false">ABS(D12-D11)</f>
        <v>2672</v>
      </c>
      <c r="K12" s="15" t="n">
        <f aca="false">ABS(E12-E11)</f>
        <v>577</v>
      </c>
      <c r="L12" s="15" t="n">
        <f aca="false">ABS(F12-F11)</f>
        <v>1346</v>
      </c>
      <c r="M12" s="15" t="n">
        <f aca="false">ABS(G12-G11)</f>
        <v>268</v>
      </c>
      <c r="N12" s="15" t="n">
        <f aca="false">ABS(H12-H11)</f>
        <v>655</v>
      </c>
    </row>
    <row r="13" customFormat="false" ht="15" hidden="false" customHeight="false" outlineLevel="0" collapsed="false">
      <c r="A13" s="14" t="s">
        <v>64</v>
      </c>
      <c r="B13" s="14" t="s">
        <v>56</v>
      </c>
      <c r="C13" s="15" t="n">
        <v>39981</v>
      </c>
      <c r="D13" s="15" t="n">
        <v>18158</v>
      </c>
      <c r="E13" s="15" t="n">
        <v>17037</v>
      </c>
      <c r="F13" s="15" t="n">
        <v>17536</v>
      </c>
      <c r="G13" s="15" t="n">
        <v>2386</v>
      </c>
      <c r="H13" s="15" t="n">
        <v>101</v>
      </c>
      <c r="I13" s="15" t="n">
        <f aca="false">ABS(C13-C12)</f>
        <v>1324</v>
      </c>
      <c r="J13" s="15" t="n">
        <f aca="false">ABS(D13-D12)</f>
        <v>4730</v>
      </c>
      <c r="K13" s="15" t="n">
        <f aca="false">ABS(E13-E12)</f>
        <v>7683</v>
      </c>
      <c r="L13" s="15" t="n">
        <f aca="false">ABS(F13-F12)</f>
        <v>624</v>
      </c>
      <c r="M13" s="15" t="n">
        <f aca="false">ABS(G13-G12)</f>
        <v>164</v>
      </c>
      <c r="N13" s="15" t="n">
        <f aca="false">ABS(H13-H12)</f>
        <v>101</v>
      </c>
    </row>
    <row r="14" customFormat="false" ht="15" hidden="false" customHeight="false" outlineLevel="0" collapsed="false">
      <c r="A14" s="14" t="s">
        <v>65</v>
      </c>
      <c r="B14" s="14" t="s">
        <v>56</v>
      </c>
      <c r="C14" s="15" t="n">
        <v>39408</v>
      </c>
      <c r="D14" s="15" t="n">
        <v>21518</v>
      </c>
      <c r="E14" s="15" t="n">
        <v>7025</v>
      </c>
      <c r="F14" s="15" t="n">
        <v>16688</v>
      </c>
      <c r="G14" s="15" t="n">
        <v>2661</v>
      </c>
      <c r="H14" s="15" t="n">
        <v>163</v>
      </c>
      <c r="I14" s="15" t="n">
        <f aca="false">ABS(C14-C13)</f>
        <v>573</v>
      </c>
      <c r="J14" s="15" t="n">
        <f aca="false">ABS(D14-D13)</f>
        <v>3360</v>
      </c>
      <c r="K14" s="15" t="n">
        <f aca="false">ABS(E14-E13)</f>
        <v>10012</v>
      </c>
      <c r="L14" s="15" t="n">
        <f aca="false">ABS(F14-F13)</f>
        <v>848</v>
      </c>
      <c r="M14" s="15" t="n">
        <f aca="false">ABS(G14-G13)</f>
        <v>275</v>
      </c>
      <c r="N14" s="15" t="n">
        <f aca="false">ABS(H14-H13)</f>
        <v>62</v>
      </c>
    </row>
    <row r="15" customFormat="false" ht="15" hidden="false" customHeight="false" outlineLevel="0" collapsed="false">
      <c r="A15" s="14" t="s">
        <v>66</v>
      </c>
      <c r="B15" s="14" t="s">
        <v>56</v>
      </c>
      <c r="C15" s="15" t="n">
        <v>53647</v>
      </c>
      <c r="D15" s="15" t="n">
        <v>19379</v>
      </c>
      <c r="E15" s="15" t="n">
        <v>8800</v>
      </c>
      <c r="F15" s="15" t="n">
        <v>15900</v>
      </c>
      <c r="G15" s="15" t="n">
        <v>2431</v>
      </c>
      <c r="H15" s="15" t="n">
        <v>0</v>
      </c>
      <c r="I15" s="15" t="n">
        <f aca="false">ABS(C15-C14)</f>
        <v>14239</v>
      </c>
      <c r="J15" s="15" t="n">
        <f aca="false">ABS(D15-D14)</f>
        <v>2139</v>
      </c>
      <c r="K15" s="15" t="n">
        <f aca="false">ABS(E15-E14)</f>
        <v>1775</v>
      </c>
      <c r="L15" s="15" t="n">
        <f aca="false">ABS(F15-F14)</f>
        <v>788</v>
      </c>
      <c r="M15" s="15" t="n">
        <f aca="false">ABS(G15-G14)</f>
        <v>230</v>
      </c>
      <c r="N15" s="15" t="n">
        <f aca="false">ABS(H15-H14)</f>
        <v>163</v>
      </c>
    </row>
    <row r="16" customFormat="false" ht="15" hidden="false" customHeight="false" outlineLevel="0" collapsed="false">
      <c r="A16" s="14" t="s">
        <v>67</v>
      </c>
      <c r="B16" s="14" t="s">
        <v>56</v>
      </c>
      <c r="C16" s="15" t="n">
        <v>51728</v>
      </c>
      <c r="D16" s="15" t="n">
        <v>14912</v>
      </c>
      <c r="E16" s="15" t="n">
        <v>8120</v>
      </c>
      <c r="F16" s="15" t="n">
        <v>15632</v>
      </c>
      <c r="G16" s="15" t="n">
        <v>2705</v>
      </c>
      <c r="H16" s="15" t="n">
        <v>0</v>
      </c>
      <c r="I16" s="15" t="n">
        <f aca="false">ABS(C16-C15)</f>
        <v>1919</v>
      </c>
      <c r="J16" s="15" t="n">
        <f aca="false">ABS(D16-D15)</f>
        <v>4467</v>
      </c>
      <c r="K16" s="15" t="n">
        <f aca="false">ABS(E16-E15)</f>
        <v>680</v>
      </c>
      <c r="L16" s="15" t="n">
        <f aca="false">ABS(F16-F15)</f>
        <v>268</v>
      </c>
      <c r="M16" s="15" t="n">
        <f aca="false">ABS(G16-G15)</f>
        <v>274</v>
      </c>
      <c r="N16" s="15" t="n">
        <f aca="false">ABS(H16-H15)</f>
        <v>0</v>
      </c>
    </row>
    <row r="17" customFormat="false" ht="15" hidden="false" customHeight="false" outlineLevel="0" collapsed="false">
      <c r="A17" s="14" t="s">
        <v>68</v>
      </c>
      <c r="B17" s="14" t="s">
        <v>56</v>
      </c>
      <c r="C17" s="15" t="n">
        <v>48357</v>
      </c>
      <c r="D17" s="15" t="n">
        <v>15064</v>
      </c>
      <c r="E17" s="15" t="n">
        <v>8983</v>
      </c>
      <c r="F17" s="15" t="n">
        <v>13037</v>
      </c>
      <c r="G17" s="15" t="n">
        <v>2835</v>
      </c>
      <c r="H17" s="15" t="n">
        <v>116</v>
      </c>
      <c r="I17" s="15" t="n">
        <f aca="false">ABS(C17-C16)</f>
        <v>3371</v>
      </c>
      <c r="J17" s="15" t="n">
        <f aca="false">ABS(D17-D16)</f>
        <v>152</v>
      </c>
      <c r="K17" s="15" t="n">
        <f aca="false">ABS(E17-E16)</f>
        <v>863</v>
      </c>
      <c r="L17" s="15" t="n">
        <f aca="false">ABS(F17-F16)</f>
        <v>2595</v>
      </c>
      <c r="M17" s="15" t="n">
        <f aca="false">ABS(G17-G16)</f>
        <v>130</v>
      </c>
      <c r="N17" s="15" t="n">
        <f aca="false">ABS(H17-H16)</f>
        <v>116</v>
      </c>
    </row>
    <row r="18" customFormat="false" ht="15" hidden="false" customHeight="false" outlineLevel="0" collapsed="false">
      <c r="A18" s="14" t="s">
        <v>69</v>
      </c>
      <c r="B18" s="14" t="s">
        <v>56</v>
      </c>
      <c r="C18" s="15" t="n">
        <v>42703</v>
      </c>
      <c r="D18" s="15" t="n">
        <v>19712</v>
      </c>
      <c r="E18" s="15" t="n">
        <v>9353</v>
      </c>
      <c r="F18" s="15" t="n">
        <v>9100</v>
      </c>
      <c r="G18" s="15" t="n">
        <v>2054</v>
      </c>
      <c r="H18" s="15" t="n">
        <v>196</v>
      </c>
      <c r="I18" s="15" t="n">
        <f aca="false">ABS(C18-C17)</f>
        <v>5654</v>
      </c>
      <c r="J18" s="15" t="n">
        <f aca="false">ABS(D18-D17)</f>
        <v>4648</v>
      </c>
      <c r="K18" s="15" t="n">
        <f aca="false">ABS(E18-E17)</f>
        <v>370</v>
      </c>
      <c r="L18" s="15" t="n">
        <f aca="false">ABS(F18-F17)</f>
        <v>3937</v>
      </c>
      <c r="M18" s="15" t="n">
        <f aca="false">ABS(G18-G17)</f>
        <v>781</v>
      </c>
      <c r="N18" s="15" t="n">
        <f aca="false">ABS(H18-H17)</f>
        <v>80</v>
      </c>
    </row>
    <row r="19" customFormat="false" ht="15" hidden="false" customHeight="false" outlineLevel="0" collapsed="false">
      <c r="A19" s="14" t="s">
        <v>70</v>
      </c>
      <c r="B19" s="14" t="s">
        <v>56</v>
      </c>
      <c r="C19" s="15" t="n">
        <v>44589</v>
      </c>
      <c r="D19" s="15" t="n">
        <v>13948</v>
      </c>
      <c r="E19" s="15" t="n">
        <v>10687</v>
      </c>
      <c r="F19" s="15" t="n">
        <v>10301</v>
      </c>
      <c r="G19" s="15" t="n">
        <v>1336</v>
      </c>
      <c r="H19" s="15" t="n">
        <v>233</v>
      </c>
      <c r="I19" s="15" t="n">
        <f aca="false">ABS(C19-C18)</f>
        <v>1886</v>
      </c>
      <c r="J19" s="15" t="n">
        <f aca="false">ABS(D19-D18)</f>
        <v>5764</v>
      </c>
      <c r="K19" s="15" t="n">
        <f aca="false">ABS(E19-E18)</f>
        <v>1334</v>
      </c>
      <c r="L19" s="15" t="n">
        <f aca="false">ABS(F19-F18)</f>
        <v>1201</v>
      </c>
      <c r="M19" s="15" t="n">
        <f aca="false">ABS(G19-G18)</f>
        <v>718</v>
      </c>
      <c r="N19" s="15" t="n">
        <f aca="false">ABS(H19-H18)</f>
        <v>37</v>
      </c>
    </row>
    <row r="20" customFormat="false" ht="15" hidden="false" customHeight="false" outlineLevel="0" collapsed="false">
      <c r="A20" s="14" t="s">
        <v>71</v>
      </c>
      <c r="B20" s="14" t="s">
        <v>56</v>
      </c>
      <c r="C20" s="15" t="n">
        <v>48187</v>
      </c>
      <c r="D20" s="15" t="n">
        <v>17760</v>
      </c>
      <c r="E20" s="15" t="n">
        <v>15581</v>
      </c>
      <c r="F20" s="15" t="n">
        <v>11166</v>
      </c>
      <c r="G20" s="15" t="n">
        <v>3015</v>
      </c>
      <c r="H20" s="15" t="n">
        <v>0</v>
      </c>
      <c r="I20" s="15" t="n">
        <f aca="false">ABS(C20-C19)</f>
        <v>3598</v>
      </c>
      <c r="J20" s="15" t="n">
        <f aca="false">ABS(D20-D19)</f>
        <v>3812</v>
      </c>
      <c r="K20" s="15" t="n">
        <f aca="false">ABS(E20-E19)</f>
        <v>4894</v>
      </c>
      <c r="L20" s="15" t="n">
        <f aca="false">ABS(F20-F19)</f>
        <v>865</v>
      </c>
      <c r="M20" s="15" t="n">
        <f aca="false">ABS(G20-G19)</f>
        <v>1679</v>
      </c>
      <c r="N20" s="15" t="n">
        <f aca="false">ABS(H20-H19)</f>
        <v>233</v>
      </c>
    </row>
    <row r="21" customFormat="false" ht="15" hidden="false" customHeight="false" outlineLevel="0" collapsed="false">
      <c r="A21" s="14" t="s">
        <v>72</v>
      </c>
      <c r="B21" s="14" t="s">
        <v>56</v>
      </c>
      <c r="C21" s="15" t="n">
        <v>28331</v>
      </c>
      <c r="D21" s="15" t="n">
        <v>13544</v>
      </c>
      <c r="E21" s="15" t="n">
        <v>7167</v>
      </c>
      <c r="F21" s="15" t="n">
        <v>11732</v>
      </c>
      <c r="G21" s="15" t="n">
        <v>2279</v>
      </c>
      <c r="H21" s="15" t="n">
        <v>0</v>
      </c>
      <c r="I21" s="15" t="n">
        <f aca="false">ABS(C21-C20)</f>
        <v>19856</v>
      </c>
      <c r="J21" s="15" t="n">
        <f aca="false">ABS(D21-D20)</f>
        <v>4216</v>
      </c>
      <c r="K21" s="15" t="n">
        <f aca="false">ABS(E21-E20)</f>
        <v>8414</v>
      </c>
      <c r="L21" s="15" t="n">
        <f aca="false">ABS(F21-F20)</f>
        <v>566</v>
      </c>
      <c r="M21" s="15" t="n">
        <f aca="false">ABS(G21-G20)</f>
        <v>736</v>
      </c>
      <c r="N21" s="15" t="n">
        <f aca="false">ABS(H21-H20)</f>
        <v>0</v>
      </c>
    </row>
    <row r="22" customFormat="false" ht="15" hidden="false" customHeight="false" outlineLevel="0" collapsed="false">
      <c r="A22" s="14" t="s">
        <v>73</v>
      </c>
      <c r="B22" s="14" t="s">
        <v>56</v>
      </c>
      <c r="C22" s="15" t="n">
        <v>33520</v>
      </c>
      <c r="D22" s="15" t="n">
        <v>18456</v>
      </c>
      <c r="E22" s="15" t="n">
        <v>9425</v>
      </c>
      <c r="F22" s="15" t="n">
        <v>12308</v>
      </c>
      <c r="G22" s="15" t="n">
        <v>1436</v>
      </c>
      <c r="H22" s="15" t="n">
        <v>0</v>
      </c>
      <c r="I22" s="15" t="n">
        <f aca="false">ABS(C22-C21)</f>
        <v>5189</v>
      </c>
      <c r="J22" s="15" t="n">
        <f aca="false">ABS(D22-D21)</f>
        <v>4912</v>
      </c>
      <c r="K22" s="15" t="n">
        <f aca="false">ABS(E22-E21)</f>
        <v>2258</v>
      </c>
      <c r="L22" s="15" t="n">
        <f aca="false">ABS(F22-F21)</f>
        <v>576</v>
      </c>
      <c r="M22" s="15" t="n">
        <f aca="false">ABS(G22-G21)</f>
        <v>843</v>
      </c>
      <c r="N22" s="15" t="n">
        <f aca="false">ABS(H22-H21)</f>
        <v>0</v>
      </c>
    </row>
    <row r="23" customFormat="false" ht="15" hidden="false" customHeight="false" outlineLevel="0" collapsed="false">
      <c r="A23" s="14" t="s">
        <v>74</v>
      </c>
      <c r="B23" s="14" t="s">
        <v>56</v>
      </c>
      <c r="C23" s="15" t="n">
        <v>30987</v>
      </c>
      <c r="D23" s="15" t="n">
        <v>15927</v>
      </c>
      <c r="E23" s="15" t="n">
        <v>9428</v>
      </c>
      <c r="F23" s="15" t="n">
        <v>16557</v>
      </c>
      <c r="G23" s="15" t="n">
        <v>1565</v>
      </c>
      <c r="H23" s="15" t="n">
        <v>0</v>
      </c>
      <c r="I23" s="15" t="n">
        <f aca="false">ABS(C23-C22)</f>
        <v>2533</v>
      </c>
      <c r="J23" s="15" t="n">
        <f aca="false">ABS(D23-D22)</f>
        <v>2529</v>
      </c>
      <c r="K23" s="15" t="n">
        <f aca="false">ABS(E23-E22)</f>
        <v>3</v>
      </c>
      <c r="L23" s="15" t="n">
        <f aca="false">ABS(F23-F22)</f>
        <v>4249</v>
      </c>
      <c r="M23" s="15" t="n">
        <f aca="false">ABS(G23-G22)</f>
        <v>129</v>
      </c>
      <c r="N23" s="15" t="n">
        <f aca="false">ABS(H23-H22)</f>
        <v>0</v>
      </c>
    </row>
    <row r="24" customFormat="false" ht="15" hidden="false" customHeight="false" outlineLevel="0" collapsed="false">
      <c r="A24" s="14" t="s">
        <v>75</v>
      </c>
      <c r="B24" s="14" t="s">
        <v>56</v>
      </c>
      <c r="C24" s="15" t="n">
        <v>29792</v>
      </c>
      <c r="D24" s="15" t="n">
        <v>18224</v>
      </c>
      <c r="E24" s="15" t="n">
        <v>8426</v>
      </c>
      <c r="F24" s="15" t="n">
        <v>19041</v>
      </c>
      <c r="G24" s="15" t="n">
        <v>2363</v>
      </c>
      <c r="H24" s="15" t="n">
        <v>351</v>
      </c>
      <c r="I24" s="15" t="n">
        <f aca="false">ABS(C24-C23)</f>
        <v>1195</v>
      </c>
      <c r="J24" s="15" t="n">
        <f aca="false">ABS(D24-D23)</f>
        <v>2297</v>
      </c>
      <c r="K24" s="15" t="n">
        <f aca="false">ABS(E24-E23)</f>
        <v>1002</v>
      </c>
      <c r="L24" s="15" t="n">
        <f aca="false">ABS(F24-F23)</f>
        <v>2484</v>
      </c>
      <c r="M24" s="15" t="n">
        <f aca="false">ABS(G24-G23)</f>
        <v>798</v>
      </c>
      <c r="N24" s="15" t="n">
        <f aca="false">ABS(H24-H23)</f>
        <v>351</v>
      </c>
    </row>
    <row r="25" customFormat="false" ht="15" hidden="false" customHeight="false" outlineLevel="0" collapsed="false">
      <c r="A25" s="14" t="s">
        <v>76</v>
      </c>
      <c r="B25" s="14" t="s">
        <v>56</v>
      </c>
      <c r="C25" s="15" t="n">
        <v>35593</v>
      </c>
      <c r="D25" s="15" t="n">
        <v>20248</v>
      </c>
      <c r="E25" s="15" t="n">
        <v>9820</v>
      </c>
      <c r="F25" s="15" t="n">
        <v>22664</v>
      </c>
      <c r="G25" s="15" t="n">
        <v>2122</v>
      </c>
      <c r="H25" s="15" t="n">
        <v>146</v>
      </c>
      <c r="I25" s="15" t="n">
        <f aca="false">ABS(C25-C24)</f>
        <v>5801</v>
      </c>
      <c r="J25" s="15" t="n">
        <f aca="false">ABS(D25-D24)</f>
        <v>2024</v>
      </c>
      <c r="K25" s="15" t="n">
        <f aca="false">ABS(E25-E24)</f>
        <v>1394</v>
      </c>
      <c r="L25" s="15" t="n">
        <f aca="false">ABS(F25-F24)</f>
        <v>3623</v>
      </c>
      <c r="M25" s="15" t="n">
        <f aca="false">ABS(G25-G24)</f>
        <v>241</v>
      </c>
      <c r="N25" s="15" t="n">
        <f aca="false">ABS(H25-H24)</f>
        <v>205</v>
      </c>
    </row>
    <row r="26" customFormat="false" ht="15" hidden="false" customHeight="false" outlineLevel="0" collapsed="false">
      <c r="A26" s="14" t="s">
        <v>77</v>
      </c>
      <c r="B26" s="14" t="s">
        <v>56</v>
      </c>
      <c r="C26" s="15" t="n">
        <v>48734</v>
      </c>
      <c r="D26" s="15" t="n">
        <v>23287</v>
      </c>
      <c r="E26" s="15" t="n">
        <v>8838</v>
      </c>
      <c r="F26" s="15" t="n">
        <v>17202</v>
      </c>
      <c r="G26" s="15" t="n">
        <v>1925</v>
      </c>
      <c r="H26" s="15" t="n">
        <v>0</v>
      </c>
      <c r="I26" s="15" t="n">
        <f aca="false">ABS(C26-C25)</f>
        <v>13141</v>
      </c>
      <c r="J26" s="15" t="n">
        <f aca="false">ABS(D26-D25)</f>
        <v>3039</v>
      </c>
      <c r="K26" s="15" t="n">
        <f aca="false">ABS(E26-E25)</f>
        <v>982</v>
      </c>
      <c r="L26" s="15" t="n">
        <f aca="false">ABS(F26-F25)</f>
        <v>5462</v>
      </c>
      <c r="M26" s="15" t="n">
        <f aca="false">ABS(G26-G25)</f>
        <v>197</v>
      </c>
      <c r="N26" s="15" t="n">
        <f aca="false">ABS(H26-H25)</f>
        <v>146</v>
      </c>
    </row>
    <row r="27" customFormat="false" ht="15" hidden="false" customHeight="false" outlineLevel="0" collapsed="false">
      <c r="A27" s="14" t="s">
        <v>78</v>
      </c>
      <c r="B27" s="14" t="s">
        <v>56</v>
      </c>
      <c r="C27" s="15" t="n">
        <v>47459</v>
      </c>
      <c r="D27" s="15" t="n">
        <v>20493</v>
      </c>
      <c r="E27" s="15" t="n">
        <v>8873</v>
      </c>
      <c r="F27" s="15" t="n">
        <v>14835</v>
      </c>
      <c r="G27" s="15" t="n">
        <v>2809</v>
      </c>
      <c r="H27" s="15" t="n">
        <v>0</v>
      </c>
      <c r="I27" s="15" t="n">
        <f aca="false">ABS(C27-C26)</f>
        <v>1275</v>
      </c>
      <c r="J27" s="15" t="n">
        <f aca="false">ABS(D27-D26)</f>
        <v>2794</v>
      </c>
      <c r="K27" s="15" t="n">
        <f aca="false">ABS(E27-E26)</f>
        <v>35</v>
      </c>
      <c r="L27" s="15" t="n">
        <f aca="false">ABS(F27-F26)</f>
        <v>2367</v>
      </c>
      <c r="M27" s="15" t="n">
        <f aca="false">ABS(G27-G26)</f>
        <v>884</v>
      </c>
      <c r="N27" s="15" t="n">
        <f aca="false">ABS(H27-H26)</f>
        <v>0</v>
      </c>
    </row>
    <row r="28" customFormat="false" ht="15" hidden="false" customHeight="false" outlineLevel="0" collapsed="false">
      <c r="A28" s="14" t="s">
        <v>79</v>
      </c>
      <c r="B28" s="14" t="s">
        <v>56</v>
      </c>
      <c r="C28" s="15" t="n">
        <v>54745</v>
      </c>
      <c r="D28" s="15" t="n">
        <v>20331</v>
      </c>
      <c r="E28" s="15" t="n">
        <v>10556</v>
      </c>
      <c r="F28" s="15" t="n">
        <v>12569</v>
      </c>
      <c r="G28" s="15" t="n">
        <v>1935</v>
      </c>
      <c r="H28" s="15" t="n">
        <v>177</v>
      </c>
      <c r="I28" s="15" t="n">
        <f aca="false">ABS(C28-C27)</f>
        <v>7286</v>
      </c>
      <c r="J28" s="15" t="n">
        <f aca="false">ABS(D28-D27)</f>
        <v>162</v>
      </c>
      <c r="K28" s="15" t="n">
        <f aca="false">ABS(E28-E27)</f>
        <v>1683</v>
      </c>
      <c r="L28" s="15" t="n">
        <f aca="false">ABS(F28-F27)</f>
        <v>2266</v>
      </c>
      <c r="M28" s="15" t="n">
        <f aca="false">ABS(G28-G27)</f>
        <v>874</v>
      </c>
      <c r="N28" s="15" t="n">
        <f aca="false">ABS(H28-H27)</f>
        <v>177</v>
      </c>
    </row>
    <row r="29" customFormat="false" ht="15" hidden="false" customHeight="false" outlineLevel="0" collapsed="false">
      <c r="A29" s="14" t="s">
        <v>80</v>
      </c>
      <c r="B29" s="14" t="s">
        <v>56</v>
      </c>
      <c r="C29" s="15" t="n">
        <v>49986</v>
      </c>
      <c r="D29" s="15" t="n">
        <v>16851</v>
      </c>
      <c r="E29" s="15" t="n">
        <v>10977</v>
      </c>
      <c r="F29" s="15" t="n">
        <v>10881</v>
      </c>
      <c r="G29" s="15" t="n">
        <v>1742</v>
      </c>
      <c r="H29" s="15" t="n">
        <v>99</v>
      </c>
      <c r="I29" s="15" t="n">
        <f aca="false">ABS(C29-C28)</f>
        <v>4759</v>
      </c>
      <c r="J29" s="15" t="n">
        <f aca="false">ABS(D29-D28)</f>
        <v>3480</v>
      </c>
      <c r="K29" s="15" t="n">
        <f aca="false">ABS(E29-E28)</f>
        <v>421</v>
      </c>
      <c r="L29" s="15" t="n">
        <f aca="false">ABS(F29-F28)</f>
        <v>1688</v>
      </c>
      <c r="M29" s="15" t="n">
        <f aca="false">ABS(G29-G28)</f>
        <v>193</v>
      </c>
      <c r="N29" s="15" t="n">
        <f aca="false">ABS(H29-H28)</f>
        <v>78</v>
      </c>
    </row>
    <row r="30" customFormat="false" ht="15" hidden="false" customHeight="false" outlineLevel="0" collapsed="false">
      <c r="A30" s="14" t="s">
        <v>81</v>
      </c>
      <c r="B30" s="14" t="s">
        <v>56</v>
      </c>
      <c r="C30" s="15" t="n">
        <v>46973</v>
      </c>
      <c r="D30" s="15" t="n">
        <v>20059</v>
      </c>
      <c r="E30" s="15" t="n">
        <v>9901</v>
      </c>
      <c r="F30" s="15" t="n">
        <v>9440</v>
      </c>
      <c r="G30" s="15" t="n">
        <v>2173</v>
      </c>
      <c r="H30" s="15" t="n">
        <v>172</v>
      </c>
      <c r="I30" s="15" t="n">
        <f aca="false">ABS(C30-C29)</f>
        <v>3013</v>
      </c>
      <c r="J30" s="15" t="n">
        <f aca="false">ABS(D30-D29)</f>
        <v>3208</v>
      </c>
      <c r="K30" s="15" t="n">
        <f aca="false">ABS(E30-E29)</f>
        <v>1076</v>
      </c>
      <c r="L30" s="15" t="n">
        <f aca="false">ABS(F30-F29)</f>
        <v>1441</v>
      </c>
      <c r="M30" s="15" t="n">
        <f aca="false">ABS(G30-G29)</f>
        <v>431</v>
      </c>
      <c r="N30" s="15" t="n">
        <f aca="false">ABS(H30-H29)</f>
        <v>73</v>
      </c>
    </row>
    <row r="31" customFormat="false" ht="15" hidden="false" customHeight="false" outlineLevel="0" collapsed="false">
      <c r="A31" s="14" t="s">
        <v>82</v>
      </c>
      <c r="B31" s="14" t="s">
        <v>56</v>
      </c>
      <c r="C31" s="15" t="n">
        <v>41917</v>
      </c>
      <c r="D31" s="15" t="n">
        <v>17409</v>
      </c>
      <c r="E31" s="15" t="n">
        <v>9275</v>
      </c>
      <c r="F31" s="15" t="n">
        <v>7311</v>
      </c>
      <c r="G31" s="15" t="n">
        <v>2412</v>
      </c>
      <c r="H31" s="15" t="n">
        <v>414</v>
      </c>
      <c r="I31" s="15" t="n">
        <f aca="false">ABS(C31-C30)</f>
        <v>5056</v>
      </c>
      <c r="J31" s="15" t="n">
        <f aca="false">ABS(D31-D30)</f>
        <v>2650</v>
      </c>
      <c r="K31" s="15" t="n">
        <f aca="false">ABS(E31-E30)</f>
        <v>626</v>
      </c>
      <c r="L31" s="15" t="n">
        <f aca="false">ABS(F31-F30)</f>
        <v>2129</v>
      </c>
      <c r="M31" s="15" t="n">
        <f aca="false">ABS(G31-G30)</f>
        <v>239</v>
      </c>
      <c r="N31" s="15" t="n">
        <f aca="false">ABS(H31-H30)</f>
        <v>242</v>
      </c>
    </row>
    <row r="32" customFormat="false" ht="15" hidden="false" customHeight="false" outlineLevel="0" collapsed="false">
      <c r="A32" s="14" t="s">
        <v>83</v>
      </c>
      <c r="B32" s="14" t="s">
        <v>56</v>
      </c>
      <c r="C32" s="15" t="n">
        <v>53192</v>
      </c>
      <c r="D32" s="15" t="n">
        <v>18992</v>
      </c>
      <c r="E32" s="15" t="n">
        <v>13773</v>
      </c>
      <c r="F32" s="15" t="n">
        <v>8860</v>
      </c>
      <c r="G32" s="15" t="n">
        <v>2769</v>
      </c>
      <c r="H32" s="15" t="n">
        <v>296</v>
      </c>
      <c r="I32" s="15" t="n">
        <f aca="false">ABS(C32-C31)</f>
        <v>11275</v>
      </c>
      <c r="J32" s="15" t="n">
        <f aca="false">ABS(D32-D31)</f>
        <v>1583</v>
      </c>
      <c r="K32" s="15" t="n">
        <f aca="false">ABS(E32-E31)</f>
        <v>4498</v>
      </c>
      <c r="L32" s="15" t="n">
        <f aca="false">ABS(F32-F31)</f>
        <v>1549</v>
      </c>
      <c r="M32" s="15" t="n">
        <f aca="false">ABS(G32-G31)</f>
        <v>357</v>
      </c>
      <c r="N32" s="15" t="n">
        <f aca="false">ABS(H32-H31)</f>
        <v>118</v>
      </c>
    </row>
    <row r="33" customFormat="false" ht="15" hidden="false" customHeight="false" outlineLevel="0" collapsed="false">
      <c r="A33" s="14" t="s">
        <v>84</v>
      </c>
      <c r="B33" s="14" t="s">
        <v>56</v>
      </c>
      <c r="C33" s="15" t="n">
        <v>49180</v>
      </c>
      <c r="D33" s="15" t="n">
        <v>17555</v>
      </c>
      <c r="E33" s="15" t="n">
        <v>11098</v>
      </c>
      <c r="F33" s="15" t="n">
        <v>10764</v>
      </c>
      <c r="G33" s="15" t="n">
        <v>2764</v>
      </c>
      <c r="H33" s="15" t="n">
        <v>0</v>
      </c>
      <c r="I33" s="15" t="n">
        <f aca="false">ABS(C33-C32)</f>
        <v>4012</v>
      </c>
      <c r="J33" s="15" t="n">
        <f aca="false">ABS(D33-D32)</f>
        <v>1437</v>
      </c>
      <c r="K33" s="15" t="n">
        <f aca="false">ABS(E33-E32)</f>
        <v>2675</v>
      </c>
      <c r="L33" s="15" t="n">
        <f aca="false">ABS(F33-F32)</f>
        <v>1904</v>
      </c>
      <c r="M33" s="15" t="n">
        <f aca="false">ABS(G33-G32)</f>
        <v>5</v>
      </c>
      <c r="N33" s="15" t="n">
        <f aca="false">ABS(H33-H32)</f>
        <v>296</v>
      </c>
    </row>
    <row r="34" customFormat="false" ht="15" hidden="false" customHeight="false" outlineLevel="0" collapsed="false">
      <c r="A34" s="14" t="s">
        <v>85</v>
      </c>
      <c r="B34" s="14" t="s">
        <v>56</v>
      </c>
      <c r="C34" s="15" t="n">
        <v>43881</v>
      </c>
      <c r="D34" s="15" t="n">
        <v>15198</v>
      </c>
      <c r="E34" s="15" t="n">
        <v>9078</v>
      </c>
      <c r="F34" s="15" t="n">
        <v>12134</v>
      </c>
      <c r="G34" s="15" t="n">
        <v>2420</v>
      </c>
      <c r="H34" s="15" t="n">
        <v>166</v>
      </c>
      <c r="I34" s="15" t="n">
        <f aca="false">ABS(C34-C33)</f>
        <v>5299</v>
      </c>
      <c r="J34" s="15" t="n">
        <f aca="false">ABS(D34-D33)</f>
        <v>2357</v>
      </c>
      <c r="K34" s="15" t="n">
        <f aca="false">ABS(E34-E33)</f>
        <v>2020</v>
      </c>
      <c r="L34" s="15" t="n">
        <f aca="false">ABS(F34-F33)</f>
        <v>1370</v>
      </c>
      <c r="M34" s="15" t="n">
        <f aca="false">ABS(G34-G33)</f>
        <v>344</v>
      </c>
      <c r="N34" s="15" t="n">
        <f aca="false">ABS(H34-H33)</f>
        <v>166</v>
      </c>
    </row>
    <row r="35" customFormat="false" ht="15" hidden="false" customHeight="false" outlineLevel="0" collapsed="false">
      <c r="A35" s="12" t="s">
        <v>86</v>
      </c>
      <c r="B35" s="12" t="s">
        <v>87</v>
      </c>
      <c r="C35" s="16" t="n">
        <v>44237</v>
      </c>
      <c r="D35" s="16" t="n">
        <v>16595</v>
      </c>
      <c r="E35" s="16" t="n">
        <v>9555</v>
      </c>
      <c r="F35" s="16" t="n">
        <v>18378</v>
      </c>
      <c r="G35" s="16" t="n">
        <v>2487</v>
      </c>
      <c r="H35" s="16" t="n">
        <v>0</v>
      </c>
    </row>
    <row r="36" customFormat="false" ht="15" hidden="false" customHeight="false" outlineLevel="0" collapsed="false">
      <c r="A36" s="12" t="s">
        <v>88</v>
      </c>
      <c r="B36" s="12" t="s">
        <v>87</v>
      </c>
      <c r="C36" s="16" t="n">
        <v>45996</v>
      </c>
      <c r="D36" s="16" t="n">
        <v>19884</v>
      </c>
      <c r="E36" s="16" t="n">
        <v>9669</v>
      </c>
      <c r="F36" s="16" t="n">
        <v>18886</v>
      </c>
      <c r="G36" s="16" t="n">
        <v>2193</v>
      </c>
      <c r="H36" s="16" t="n">
        <v>21</v>
      </c>
    </row>
    <row r="37" customFormat="false" ht="15" hidden="false" customHeight="false" outlineLevel="0" collapsed="false">
      <c r="A37" s="12" t="s">
        <v>89</v>
      </c>
      <c r="B37" s="12" t="s">
        <v>87</v>
      </c>
      <c r="C37" s="16" t="n">
        <v>44430</v>
      </c>
      <c r="D37" s="16" t="n">
        <v>20693</v>
      </c>
      <c r="E37" s="16" t="n">
        <v>9764</v>
      </c>
      <c r="F37" s="16" t="n">
        <v>21194</v>
      </c>
      <c r="G37" s="16" t="n">
        <v>2228</v>
      </c>
      <c r="H37" s="16" t="n">
        <v>199</v>
      </c>
    </row>
    <row r="38" customFormat="false" ht="15" hidden="false" customHeight="false" outlineLevel="0" collapsed="false">
      <c r="A38" s="12" t="s">
        <v>90</v>
      </c>
      <c r="B38" s="12" t="s">
        <v>87</v>
      </c>
      <c r="C38" s="16" t="n">
        <v>42911</v>
      </c>
      <c r="D38" s="16" t="n">
        <v>16449</v>
      </c>
      <c r="E38" s="16" t="n">
        <v>8834</v>
      </c>
      <c r="F38" s="16" t="n">
        <v>19072</v>
      </c>
      <c r="G38" s="16" t="n">
        <v>2262</v>
      </c>
      <c r="H38" s="16" t="n">
        <v>0</v>
      </c>
    </row>
    <row r="39" customFormat="false" ht="15" hidden="false" customHeight="false" outlineLevel="0" collapsed="false">
      <c r="A39" s="12" t="s">
        <v>91</v>
      </c>
      <c r="B39" s="12" t="s">
        <v>87</v>
      </c>
      <c r="C39" s="16" t="n">
        <v>41679</v>
      </c>
      <c r="D39" s="16" t="n">
        <v>18455</v>
      </c>
      <c r="E39" s="16" t="n">
        <v>9157</v>
      </c>
      <c r="F39" s="16" t="n">
        <v>18180</v>
      </c>
      <c r="G39" s="16" t="n">
        <v>2349</v>
      </c>
      <c r="H39" s="16" t="n">
        <v>0</v>
      </c>
    </row>
    <row r="40" customFormat="false" ht="15" hidden="false" customHeight="false" outlineLevel="0" collapsed="false">
      <c r="A40" s="12" t="s">
        <v>92</v>
      </c>
      <c r="B40" s="12" t="s">
        <v>87</v>
      </c>
      <c r="C40" s="16" t="n">
        <v>48338</v>
      </c>
      <c r="D40" s="16" t="n">
        <v>20273</v>
      </c>
      <c r="E40" s="16" t="n">
        <v>11134</v>
      </c>
      <c r="F40" s="16" t="n">
        <v>14872</v>
      </c>
      <c r="G40" s="16" t="n">
        <v>2670</v>
      </c>
      <c r="H40" s="16" t="n">
        <v>184</v>
      </c>
    </row>
    <row r="42" customFormat="false" ht="15" hidden="false" customHeight="false" outlineLevel="0" collapsed="false">
      <c r="A42" s="7" t="s">
        <v>93</v>
      </c>
      <c r="B42" s="2" t="s">
        <v>94</v>
      </c>
      <c r="C42" s="15" t="n">
        <f aca="false">AVERAGE(I6:I34)</f>
        <v>5313.48275862069</v>
      </c>
      <c r="D42" s="15" t="n">
        <f aca="false">AVERAGE(J6:J34)</f>
        <v>2815.34482758621</v>
      </c>
      <c r="E42" s="15" t="n">
        <f aca="false">AVERAGE(K6:K34)</f>
        <v>2344.03448275862</v>
      </c>
      <c r="F42" s="15" t="n">
        <f aca="false">AVERAGE(L6:L34)</f>
        <v>1974.55172413793</v>
      </c>
      <c r="G42" s="15" t="n">
        <f aca="false">AVERAGE(M6:M34)</f>
        <v>427.551724137931</v>
      </c>
      <c r="H42" s="15" t="n">
        <f aca="false">AVERAGE(N6:N34)</f>
        <v>177.793103448276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30" hidden="false" customHeight="tru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30" hidden="false" customHeight="true" outlineLevel="0" collapsed="false">
      <c r="A4" s="6" t="s">
        <v>97</v>
      </c>
      <c r="B4" s="6" t="s">
        <v>41</v>
      </c>
      <c r="C4" s="6" t="s">
        <v>98</v>
      </c>
      <c r="D4" s="6" t="s">
        <v>99</v>
      </c>
      <c r="E4" s="6" t="s">
        <v>100</v>
      </c>
      <c r="F4" s="6" t="s">
        <v>101</v>
      </c>
      <c r="G4" s="6" t="s">
        <v>102</v>
      </c>
      <c r="H4" s="6" t="s">
        <v>103</v>
      </c>
      <c r="I4" s="6" t="s">
        <v>104</v>
      </c>
    </row>
    <row r="5" customFormat="false" ht="15" hidden="false" customHeight="false" outlineLevel="0" collapsed="false">
      <c r="A5" s="7" t="s">
        <v>43</v>
      </c>
      <c r="B5" s="14" t="s">
        <v>86</v>
      </c>
      <c r="C5" s="17" t="n">
        <f aca="false">Data!C35</f>
        <v>44237</v>
      </c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A6" s="14" t="s">
        <v>43</v>
      </c>
      <c r="B6" s="14" t="s">
        <v>88</v>
      </c>
      <c r="C6" s="17" t="n">
        <f aca="false">Data!C36</f>
        <v>45996</v>
      </c>
      <c r="D6" s="18"/>
      <c r="E6" s="18"/>
      <c r="F6" s="18"/>
      <c r="G6" s="18"/>
      <c r="H6" s="18"/>
      <c r="I6" s="18"/>
    </row>
    <row r="7" customFormat="false" ht="15" hidden="false" customHeight="false" outlineLevel="0" collapsed="false">
      <c r="A7" s="14" t="s">
        <v>43</v>
      </c>
      <c r="B7" s="14" t="s">
        <v>89</v>
      </c>
      <c r="C7" s="17" t="n">
        <f aca="false">Data!C37</f>
        <v>44430</v>
      </c>
      <c r="D7" s="18"/>
      <c r="E7" s="18"/>
      <c r="F7" s="18"/>
      <c r="G7" s="18"/>
      <c r="H7" s="18"/>
      <c r="I7" s="18"/>
    </row>
    <row r="8" customFormat="false" ht="15" hidden="false" customHeight="false" outlineLevel="0" collapsed="false">
      <c r="A8" s="14" t="s">
        <v>43</v>
      </c>
      <c r="B8" s="14" t="s">
        <v>90</v>
      </c>
      <c r="C8" s="17" t="n">
        <f aca="false">Data!C38</f>
        <v>42911</v>
      </c>
      <c r="D8" s="18"/>
      <c r="E8" s="18"/>
      <c r="F8" s="18"/>
      <c r="G8" s="18"/>
      <c r="H8" s="18"/>
      <c r="I8" s="18"/>
    </row>
    <row r="9" customFormat="false" ht="15" hidden="false" customHeight="false" outlineLevel="0" collapsed="false">
      <c r="A9" s="14" t="s">
        <v>43</v>
      </c>
      <c r="B9" s="14" t="s">
        <v>91</v>
      </c>
      <c r="C9" s="17" t="n">
        <f aca="false">Data!C39</f>
        <v>41679</v>
      </c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14" t="s">
        <v>43</v>
      </c>
      <c r="B10" s="14" t="s">
        <v>92</v>
      </c>
      <c r="C10" s="17" t="n">
        <f aca="false">Data!C40</f>
        <v>48338</v>
      </c>
      <c r="D10" s="18"/>
      <c r="E10" s="18"/>
      <c r="F10" s="18"/>
      <c r="G10" s="18"/>
      <c r="H10" s="18"/>
      <c r="I10" s="18"/>
    </row>
    <row r="11" customFormat="false" ht="15" hidden="false" customHeight="false" outlineLevel="0" collapsed="false">
      <c r="A11" s="7" t="s">
        <v>44</v>
      </c>
      <c r="B11" s="14" t="s">
        <v>86</v>
      </c>
      <c r="C11" s="17" t="n">
        <f aca="false">Data!D35</f>
        <v>16595</v>
      </c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14" t="s">
        <v>44</v>
      </c>
      <c r="B12" s="14" t="s">
        <v>88</v>
      </c>
      <c r="C12" s="17" t="n">
        <f aca="false">Data!D36</f>
        <v>19884</v>
      </c>
      <c r="D12" s="18"/>
      <c r="E12" s="18"/>
      <c r="F12" s="18"/>
      <c r="G12" s="18"/>
      <c r="H12" s="18"/>
      <c r="I12" s="18"/>
    </row>
    <row r="13" customFormat="false" ht="15" hidden="false" customHeight="false" outlineLevel="0" collapsed="false">
      <c r="A13" s="14" t="s">
        <v>44</v>
      </c>
      <c r="B13" s="14" t="s">
        <v>89</v>
      </c>
      <c r="C13" s="17" t="n">
        <f aca="false">Data!D37</f>
        <v>20693</v>
      </c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14" t="s">
        <v>44</v>
      </c>
      <c r="B14" s="14" t="s">
        <v>90</v>
      </c>
      <c r="C14" s="17" t="n">
        <f aca="false">Data!D38</f>
        <v>16449</v>
      </c>
      <c r="D14" s="18"/>
      <c r="E14" s="18"/>
      <c r="F14" s="18"/>
      <c r="G14" s="18"/>
      <c r="H14" s="18"/>
      <c r="I14" s="18"/>
    </row>
    <row r="15" customFormat="false" ht="15" hidden="false" customHeight="false" outlineLevel="0" collapsed="false">
      <c r="A15" s="14" t="s">
        <v>44</v>
      </c>
      <c r="B15" s="14" t="s">
        <v>91</v>
      </c>
      <c r="C15" s="17" t="n">
        <f aca="false">Data!D39</f>
        <v>18455</v>
      </c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14" t="s">
        <v>44</v>
      </c>
      <c r="B16" s="14" t="s">
        <v>92</v>
      </c>
      <c r="C16" s="17" t="n">
        <f aca="false">Data!D40</f>
        <v>20273</v>
      </c>
      <c r="D16" s="18"/>
      <c r="E16" s="18"/>
      <c r="F16" s="18"/>
      <c r="G16" s="18"/>
      <c r="H16" s="18"/>
      <c r="I16" s="18"/>
    </row>
    <row r="17" customFormat="false" ht="15" hidden="false" customHeight="false" outlineLevel="0" collapsed="false">
      <c r="A17" s="7" t="s">
        <v>45</v>
      </c>
      <c r="B17" s="14" t="s">
        <v>86</v>
      </c>
      <c r="C17" s="17" t="n">
        <f aca="false">Data!E35</f>
        <v>9555</v>
      </c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14" t="s">
        <v>45</v>
      </c>
      <c r="B18" s="14" t="s">
        <v>88</v>
      </c>
      <c r="C18" s="17" t="n">
        <f aca="false">Data!E36</f>
        <v>9669</v>
      </c>
      <c r="D18" s="18"/>
      <c r="E18" s="18"/>
      <c r="F18" s="18"/>
      <c r="G18" s="18"/>
      <c r="H18" s="18"/>
      <c r="I18" s="18"/>
    </row>
    <row r="19" customFormat="false" ht="15" hidden="false" customHeight="false" outlineLevel="0" collapsed="false">
      <c r="A19" s="14" t="s">
        <v>45</v>
      </c>
      <c r="B19" s="14" t="s">
        <v>89</v>
      </c>
      <c r="C19" s="17" t="n">
        <f aca="false">Data!E37</f>
        <v>9764</v>
      </c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14" t="s">
        <v>45</v>
      </c>
      <c r="B20" s="14" t="s">
        <v>90</v>
      </c>
      <c r="C20" s="17" t="n">
        <f aca="false">Data!E38</f>
        <v>8834</v>
      </c>
      <c r="D20" s="18"/>
      <c r="E20" s="18"/>
      <c r="F20" s="18"/>
      <c r="G20" s="18"/>
      <c r="H20" s="18"/>
      <c r="I20" s="18"/>
    </row>
    <row r="21" customFormat="false" ht="15" hidden="false" customHeight="false" outlineLevel="0" collapsed="false">
      <c r="A21" s="14" t="s">
        <v>45</v>
      </c>
      <c r="B21" s="14" t="s">
        <v>91</v>
      </c>
      <c r="C21" s="17" t="n">
        <f aca="false">Data!E39</f>
        <v>9157</v>
      </c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14" t="s">
        <v>45</v>
      </c>
      <c r="B22" s="14" t="s">
        <v>92</v>
      </c>
      <c r="C22" s="17" t="n">
        <f aca="false">Data!E40</f>
        <v>11134</v>
      </c>
      <c r="D22" s="18"/>
      <c r="E22" s="18"/>
      <c r="F22" s="18"/>
      <c r="G22" s="18"/>
      <c r="H22" s="18"/>
      <c r="I22" s="18"/>
    </row>
    <row r="23" customFormat="false" ht="15" hidden="false" customHeight="false" outlineLevel="0" collapsed="false">
      <c r="A23" s="7" t="s">
        <v>46</v>
      </c>
      <c r="B23" s="14" t="s">
        <v>86</v>
      </c>
      <c r="C23" s="17" t="n">
        <f aca="false">Data!F35</f>
        <v>18378</v>
      </c>
      <c r="D23" s="18"/>
      <c r="E23" s="18"/>
      <c r="F23" s="18"/>
      <c r="G23" s="18"/>
      <c r="H23" s="18"/>
      <c r="I23" s="18"/>
    </row>
    <row r="24" customFormat="false" ht="15" hidden="false" customHeight="false" outlineLevel="0" collapsed="false">
      <c r="A24" s="14" t="s">
        <v>46</v>
      </c>
      <c r="B24" s="14" t="s">
        <v>88</v>
      </c>
      <c r="C24" s="17" t="n">
        <f aca="false">Data!F36</f>
        <v>18886</v>
      </c>
      <c r="D24" s="18"/>
      <c r="E24" s="18"/>
      <c r="F24" s="18"/>
      <c r="G24" s="18"/>
      <c r="H24" s="18"/>
      <c r="I24" s="18"/>
    </row>
    <row r="25" customFormat="false" ht="15" hidden="false" customHeight="false" outlineLevel="0" collapsed="false">
      <c r="A25" s="14" t="s">
        <v>46</v>
      </c>
      <c r="B25" s="14" t="s">
        <v>89</v>
      </c>
      <c r="C25" s="17" t="n">
        <f aca="false">Data!F37</f>
        <v>21194</v>
      </c>
      <c r="D25" s="18"/>
      <c r="E25" s="18"/>
      <c r="F25" s="18"/>
      <c r="G25" s="18"/>
      <c r="H25" s="18"/>
      <c r="I25" s="18"/>
    </row>
    <row r="26" customFormat="false" ht="15" hidden="false" customHeight="false" outlineLevel="0" collapsed="false">
      <c r="A26" s="14" t="s">
        <v>46</v>
      </c>
      <c r="B26" s="14" t="s">
        <v>90</v>
      </c>
      <c r="C26" s="17" t="n">
        <f aca="false">Data!F38</f>
        <v>19072</v>
      </c>
      <c r="D26" s="18"/>
      <c r="E26" s="18"/>
      <c r="F26" s="18"/>
      <c r="G26" s="18"/>
      <c r="H26" s="18"/>
      <c r="I26" s="18"/>
    </row>
    <row r="27" customFormat="false" ht="15" hidden="false" customHeight="false" outlineLevel="0" collapsed="false">
      <c r="A27" s="14" t="s">
        <v>46</v>
      </c>
      <c r="B27" s="14" t="s">
        <v>91</v>
      </c>
      <c r="C27" s="17" t="n">
        <f aca="false">Data!F39</f>
        <v>18180</v>
      </c>
      <c r="D27" s="18"/>
      <c r="E27" s="18"/>
      <c r="F27" s="18"/>
      <c r="G27" s="18"/>
      <c r="H27" s="18"/>
      <c r="I27" s="18"/>
    </row>
    <row r="28" customFormat="false" ht="15" hidden="false" customHeight="false" outlineLevel="0" collapsed="false">
      <c r="A28" s="14" t="s">
        <v>46</v>
      </c>
      <c r="B28" s="14" t="s">
        <v>92</v>
      </c>
      <c r="C28" s="17" t="n">
        <f aca="false">Data!F40</f>
        <v>14872</v>
      </c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A29" s="7" t="s">
        <v>47</v>
      </c>
      <c r="B29" s="14" t="s">
        <v>86</v>
      </c>
      <c r="C29" s="17" t="n">
        <f aca="false">Data!G35</f>
        <v>2487</v>
      </c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A30" s="14" t="s">
        <v>47</v>
      </c>
      <c r="B30" s="14" t="s">
        <v>88</v>
      </c>
      <c r="C30" s="17" t="n">
        <f aca="false">Data!G36</f>
        <v>2193</v>
      </c>
      <c r="D30" s="18"/>
      <c r="E30" s="18"/>
      <c r="F30" s="18"/>
      <c r="G30" s="18"/>
      <c r="H30" s="18"/>
      <c r="I30" s="18"/>
    </row>
    <row r="31" customFormat="false" ht="15" hidden="false" customHeight="false" outlineLevel="0" collapsed="false">
      <c r="A31" s="14" t="s">
        <v>47</v>
      </c>
      <c r="B31" s="14" t="s">
        <v>89</v>
      </c>
      <c r="C31" s="17" t="n">
        <f aca="false">Data!G37</f>
        <v>2228</v>
      </c>
      <c r="D31" s="18"/>
      <c r="E31" s="18"/>
      <c r="F31" s="18"/>
      <c r="G31" s="18"/>
      <c r="H31" s="18"/>
      <c r="I31" s="18"/>
    </row>
    <row r="32" customFormat="false" ht="15" hidden="false" customHeight="false" outlineLevel="0" collapsed="false">
      <c r="A32" s="14" t="s">
        <v>47</v>
      </c>
      <c r="B32" s="14" t="s">
        <v>90</v>
      </c>
      <c r="C32" s="17" t="n">
        <f aca="false">Data!G38</f>
        <v>2262</v>
      </c>
      <c r="D32" s="18"/>
      <c r="E32" s="18"/>
      <c r="F32" s="18"/>
      <c r="G32" s="18"/>
      <c r="H32" s="18"/>
      <c r="I32" s="18"/>
    </row>
    <row r="33" customFormat="false" ht="15" hidden="false" customHeight="false" outlineLevel="0" collapsed="false">
      <c r="A33" s="14" t="s">
        <v>47</v>
      </c>
      <c r="B33" s="14" t="s">
        <v>91</v>
      </c>
      <c r="C33" s="17" t="n">
        <f aca="false">Data!G39</f>
        <v>2349</v>
      </c>
      <c r="D33" s="18"/>
      <c r="E33" s="18"/>
      <c r="F33" s="18"/>
      <c r="G33" s="18"/>
      <c r="H33" s="18"/>
      <c r="I33" s="18"/>
    </row>
    <row r="34" customFormat="false" ht="15" hidden="false" customHeight="false" outlineLevel="0" collapsed="false">
      <c r="A34" s="14" t="s">
        <v>47</v>
      </c>
      <c r="B34" s="14" t="s">
        <v>92</v>
      </c>
      <c r="C34" s="17" t="n">
        <f aca="false">Data!G40</f>
        <v>2670</v>
      </c>
      <c r="D34" s="18"/>
      <c r="E34" s="18"/>
      <c r="F34" s="18"/>
      <c r="G34" s="18"/>
      <c r="H34" s="18"/>
      <c r="I34" s="18"/>
    </row>
    <row r="35" customFormat="false" ht="15" hidden="false" customHeight="false" outlineLevel="0" collapsed="false">
      <c r="A35" s="7" t="s">
        <v>48</v>
      </c>
      <c r="B35" s="14" t="s">
        <v>86</v>
      </c>
      <c r="C35" s="17" t="n">
        <f aca="false">Data!H35</f>
        <v>0</v>
      </c>
      <c r="D35" s="18"/>
      <c r="E35" s="18"/>
      <c r="F35" s="18"/>
      <c r="G35" s="18"/>
      <c r="H35" s="18"/>
      <c r="I35" s="18"/>
    </row>
    <row r="36" customFormat="false" ht="15" hidden="false" customHeight="false" outlineLevel="0" collapsed="false">
      <c r="A36" s="14" t="s">
        <v>48</v>
      </c>
      <c r="B36" s="14" t="s">
        <v>88</v>
      </c>
      <c r="C36" s="17" t="n">
        <f aca="false">Data!H36</f>
        <v>21</v>
      </c>
      <c r="D36" s="18"/>
      <c r="E36" s="18"/>
      <c r="F36" s="18"/>
      <c r="G36" s="18"/>
      <c r="H36" s="18"/>
      <c r="I36" s="18"/>
    </row>
    <row r="37" customFormat="false" ht="15" hidden="false" customHeight="false" outlineLevel="0" collapsed="false">
      <c r="A37" s="14" t="s">
        <v>48</v>
      </c>
      <c r="B37" s="14" t="s">
        <v>89</v>
      </c>
      <c r="C37" s="17" t="n">
        <f aca="false">Data!H37</f>
        <v>199</v>
      </c>
      <c r="D37" s="18"/>
      <c r="E37" s="18"/>
      <c r="F37" s="18"/>
      <c r="G37" s="18"/>
      <c r="H37" s="18"/>
      <c r="I37" s="18"/>
    </row>
    <row r="38" customFormat="false" ht="15" hidden="false" customHeight="false" outlineLevel="0" collapsed="false">
      <c r="A38" s="14" t="s">
        <v>48</v>
      </c>
      <c r="B38" s="14" t="s">
        <v>90</v>
      </c>
      <c r="C38" s="17" t="n">
        <f aca="false">Data!H38</f>
        <v>0</v>
      </c>
      <c r="D38" s="18"/>
      <c r="E38" s="18"/>
      <c r="F38" s="18"/>
      <c r="G38" s="18"/>
      <c r="H38" s="18"/>
      <c r="I38" s="18"/>
    </row>
    <row r="39" customFormat="false" ht="15" hidden="false" customHeight="false" outlineLevel="0" collapsed="false">
      <c r="A39" s="14" t="s">
        <v>48</v>
      </c>
      <c r="B39" s="14" t="s">
        <v>91</v>
      </c>
      <c r="C39" s="17" t="n">
        <f aca="false">Data!H39</f>
        <v>0</v>
      </c>
      <c r="D39" s="18"/>
      <c r="E39" s="18"/>
      <c r="F39" s="18"/>
      <c r="G39" s="18"/>
      <c r="H39" s="18"/>
      <c r="I39" s="18"/>
    </row>
    <row r="40" customFormat="false" ht="15" hidden="false" customHeight="false" outlineLevel="0" collapsed="false">
      <c r="A40" s="14" t="s">
        <v>48</v>
      </c>
      <c r="B40" s="14" t="s">
        <v>92</v>
      </c>
      <c r="C40" s="17" t="n">
        <f aca="false">Data!H40</f>
        <v>184</v>
      </c>
      <c r="D40" s="18"/>
      <c r="E40" s="18"/>
      <c r="F40" s="18"/>
      <c r="G40" s="18"/>
      <c r="H40" s="18"/>
      <c r="I4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9" min="3" style="0" width="11"/>
  </cols>
  <sheetData>
    <row r="1" customFormat="false" ht="30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0" hidden="false" customHeight="true" outlineLevel="0" collapsed="false">
      <c r="A4" s="6" t="s">
        <v>97</v>
      </c>
      <c r="B4" s="6" t="s">
        <v>107</v>
      </c>
      <c r="C4" s="6" t="s">
        <v>108</v>
      </c>
      <c r="D4" s="6" t="s">
        <v>109</v>
      </c>
      <c r="E4" s="6" t="s">
        <v>110</v>
      </c>
      <c r="F4" s="6" t="s">
        <v>111</v>
      </c>
      <c r="G4" s="6" t="s">
        <v>112</v>
      </c>
      <c r="H4" s="6" t="s">
        <v>113</v>
      </c>
      <c r="I4" s="6" t="s">
        <v>114</v>
      </c>
    </row>
    <row r="5" customFormat="false" ht="15" hidden="false" customHeight="false" outlineLevel="0" collapsed="false">
      <c r="A5" s="7" t="s">
        <v>43</v>
      </c>
      <c r="B5" s="14" t="s">
        <v>115</v>
      </c>
      <c r="C5" s="18"/>
      <c r="D5" s="18"/>
      <c r="E5" s="18"/>
      <c r="F5" s="19"/>
      <c r="G5" s="19"/>
      <c r="H5" s="20"/>
      <c r="I5" s="21"/>
    </row>
    <row r="6" customFormat="false" ht="15" hidden="false" customHeight="false" outlineLevel="0" collapsed="false">
      <c r="A6" s="14" t="s">
        <v>43</v>
      </c>
      <c r="B6" s="14" t="s">
        <v>116</v>
      </c>
      <c r="C6" s="18"/>
      <c r="D6" s="18"/>
      <c r="E6" s="18"/>
      <c r="F6" s="19"/>
      <c r="G6" s="19"/>
      <c r="H6" s="20"/>
      <c r="I6" s="21"/>
    </row>
    <row r="7" customFormat="false" ht="15" hidden="false" customHeight="false" outlineLevel="0" collapsed="false">
      <c r="A7" s="14" t="s">
        <v>43</v>
      </c>
      <c r="B7" s="14" t="s">
        <v>117</v>
      </c>
      <c r="C7" s="18"/>
      <c r="D7" s="18"/>
      <c r="E7" s="18"/>
      <c r="F7" s="19"/>
      <c r="G7" s="19"/>
      <c r="H7" s="20"/>
      <c r="I7" s="21"/>
    </row>
    <row r="8" customFormat="false" ht="15" hidden="false" customHeight="false" outlineLevel="0" collapsed="false">
      <c r="A8" s="7" t="s">
        <v>44</v>
      </c>
      <c r="B8" s="14" t="s">
        <v>115</v>
      </c>
      <c r="C8" s="18"/>
      <c r="D8" s="18"/>
      <c r="E8" s="18"/>
      <c r="F8" s="19"/>
      <c r="G8" s="19"/>
      <c r="H8" s="20"/>
      <c r="I8" s="21"/>
    </row>
    <row r="9" customFormat="false" ht="15" hidden="false" customHeight="false" outlineLevel="0" collapsed="false">
      <c r="A9" s="14" t="s">
        <v>44</v>
      </c>
      <c r="B9" s="14" t="s">
        <v>116</v>
      </c>
      <c r="C9" s="18"/>
      <c r="D9" s="18"/>
      <c r="E9" s="18"/>
      <c r="F9" s="19"/>
      <c r="G9" s="19"/>
      <c r="H9" s="20"/>
      <c r="I9" s="21"/>
    </row>
    <row r="10" customFormat="false" ht="15" hidden="false" customHeight="false" outlineLevel="0" collapsed="false">
      <c r="A10" s="14" t="s">
        <v>44</v>
      </c>
      <c r="B10" s="14" t="s">
        <v>117</v>
      </c>
      <c r="C10" s="18"/>
      <c r="D10" s="18"/>
      <c r="E10" s="18"/>
      <c r="F10" s="19"/>
      <c r="G10" s="19"/>
      <c r="H10" s="20"/>
      <c r="I10" s="21"/>
    </row>
    <row r="11" customFormat="false" ht="15" hidden="false" customHeight="false" outlineLevel="0" collapsed="false">
      <c r="A11" s="7" t="s">
        <v>45</v>
      </c>
      <c r="B11" s="14" t="s">
        <v>115</v>
      </c>
      <c r="C11" s="18"/>
      <c r="D11" s="18"/>
      <c r="E11" s="18"/>
      <c r="F11" s="19"/>
      <c r="G11" s="19"/>
      <c r="H11" s="20"/>
      <c r="I11" s="21"/>
    </row>
    <row r="12" customFormat="false" ht="15" hidden="false" customHeight="false" outlineLevel="0" collapsed="false">
      <c r="A12" s="14" t="s">
        <v>45</v>
      </c>
      <c r="B12" s="14" t="s">
        <v>116</v>
      </c>
      <c r="C12" s="18"/>
      <c r="D12" s="18"/>
      <c r="E12" s="18"/>
      <c r="F12" s="19"/>
      <c r="G12" s="19"/>
      <c r="H12" s="20"/>
      <c r="I12" s="21"/>
    </row>
    <row r="13" customFormat="false" ht="15" hidden="false" customHeight="false" outlineLevel="0" collapsed="false">
      <c r="A13" s="14" t="s">
        <v>45</v>
      </c>
      <c r="B13" s="14" t="s">
        <v>117</v>
      </c>
      <c r="C13" s="18"/>
      <c r="D13" s="18"/>
      <c r="E13" s="18"/>
      <c r="F13" s="19"/>
      <c r="G13" s="19"/>
      <c r="H13" s="20"/>
      <c r="I13" s="21"/>
    </row>
    <row r="14" customFormat="false" ht="15" hidden="false" customHeight="false" outlineLevel="0" collapsed="false">
      <c r="A14" s="7" t="s">
        <v>46</v>
      </c>
      <c r="B14" s="14" t="s">
        <v>115</v>
      </c>
      <c r="C14" s="18"/>
      <c r="D14" s="18"/>
      <c r="E14" s="18"/>
      <c r="F14" s="19"/>
      <c r="G14" s="19"/>
      <c r="H14" s="20"/>
      <c r="I14" s="21"/>
    </row>
    <row r="15" customFormat="false" ht="15" hidden="false" customHeight="false" outlineLevel="0" collapsed="false">
      <c r="A15" s="14" t="s">
        <v>46</v>
      </c>
      <c r="B15" s="14" t="s">
        <v>116</v>
      </c>
      <c r="C15" s="18"/>
      <c r="D15" s="18"/>
      <c r="E15" s="18"/>
      <c r="F15" s="19"/>
      <c r="G15" s="19"/>
      <c r="H15" s="20"/>
      <c r="I15" s="21"/>
    </row>
    <row r="16" customFormat="false" ht="15" hidden="false" customHeight="false" outlineLevel="0" collapsed="false">
      <c r="A16" s="14" t="s">
        <v>46</v>
      </c>
      <c r="B16" s="14" t="s">
        <v>117</v>
      </c>
      <c r="C16" s="18"/>
      <c r="D16" s="18"/>
      <c r="E16" s="18"/>
      <c r="F16" s="19"/>
      <c r="G16" s="19"/>
      <c r="H16" s="20"/>
      <c r="I16" s="21"/>
    </row>
    <row r="17" customFormat="false" ht="15" hidden="false" customHeight="false" outlineLevel="0" collapsed="false">
      <c r="A17" s="7" t="s">
        <v>47</v>
      </c>
      <c r="B17" s="14" t="s">
        <v>115</v>
      </c>
      <c r="C17" s="18"/>
      <c r="D17" s="18"/>
      <c r="E17" s="18"/>
      <c r="F17" s="19"/>
      <c r="G17" s="19"/>
      <c r="H17" s="20"/>
      <c r="I17" s="21"/>
    </row>
    <row r="18" customFormat="false" ht="15" hidden="false" customHeight="false" outlineLevel="0" collapsed="false">
      <c r="A18" s="14" t="s">
        <v>47</v>
      </c>
      <c r="B18" s="14" t="s">
        <v>116</v>
      </c>
      <c r="C18" s="18"/>
      <c r="D18" s="18"/>
      <c r="E18" s="18"/>
      <c r="F18" s="19"/>
      <c r="G18" s="19"/>
      <c r="H18" s="20"/>
      <c r="I18" s="21"/>
    </row>
    <row r="19" customFormat="false" ht="15" hidden="false" customHeight="false" outlineLevel="0" collapsed="false">
      <c r="A19" s="14" t="s">
        <v>47</v>
      </c>
      <c r="B19" s="14" t="s">
        <v>117</v>
      </c>
      <c r="C19" s="18"/>
      <c r="D19" s="18"/>
      <c r="E19" s="18"/>
      <c r="F19" s="19"/>
      <c r="G19" s="19"/>
      <c r="H19" s="20"/>
      <c r="I19" s="21"/>
    </row>
    <row r="20" customFormat="false" ht="15" hidden="false" customHeight="false" outlineLevel="0" collapsed="false">
      <c r="A20" s="7" t="s">
        <v>48</v>
      </c>
      <c r="B20" s="14" t="s">
        <v>115</v>
      </c>
      <c r="C20" s="18"/>
      <c r="D20" s="18"/>
      <c r="E20" s="18"/>
      <c r="F20" s="19"/>
      <c r="G20" s="19"/>
      <c r="H20" s="20"/>
      <c r="I20" s="21"/>
    </row>
    <row r="21" customFormat="false" ht="15" hidden="false" customHeight="false" outlineLevel="0" collapsed="false">
      <c r="A21" s="14" t="s">
        <v>48</v>
      </c>
      <c r="B21" s="14" t="s">
        <v>116</v>
      </c>
      <c r="C21" s="18"/>
      <c r="D21" s="18"/>
      <c r="E21" s="18"/>
      <c r="F21" s="19"/>
      <c r="G21" s="19"/>
      <c r="H21" s="20"/>
      <c r="I21" s="21"/>
    </row>
    <row r="22" customFormat="false" ht="15" hidden="false" customHeight="false" outlineLevel="0" collapsed="false">
      <c r="A22" s="14" t="s">
        <v>48</v>
      </c>
      <c r="B22" s="14" t="s">
        <v>117</v>
      </c>
      <c r="C22" s="18"/>
      <c r="D22" s="18"/>
      <c r="E22" s="18"/>
      <c r="F22" s="19"/>
      <c r="G22" s="19"/>
      <c r="H22" s="20"/>
      <c r="I22" s="21"/>
    </row>
    <row r="24" customFormat="false" ht="15" hidden="false" customHeight="false" outlineLevel="0" collapsed="false">
      <c r="A24" s="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6" t="s">
        <v>121</v>
      </c>
      <c r="B4" s="6" t="s">
        <v>122</v>
      </c>
    </row>
    <row r="5" customFormat="false" ht="31.5" hidden="false" customHeight="true" outlineLevel="0" collapsed="false">
      <c r="A5" s="7" t="s">
        <v>123</v>
      </c>
      <c r="B5" s="22"/>
    </row>
    <row r="6" customFormat="false" ht="31.5" hidden="false" customHeight="true" outlineLevel="0" collapsed="false">
      <c r="A6" s="7" t="s">
        <v>124</v>
      </c>
      <c r="B6" s="22"/>
    </row>
    <row r="7" customFormat="false" ht="31.5" hidden="false" customHeight="true" outlineLevel="0" collapsed="false">
      <c r="A7" s="7" t="s">
        <v>125</v>
      </c>
      <c r="B7" s="22"/>
    </row>
    <row r="8" customFormat="false" ht="31.5" hidden="false" customHeight="true" outlineLevel="0" collapsed="false">
      <c r="A8" s="7" t="s">
        <v>126</v>
      </c>
      <c r="B8" s="22"/>
    </row>
    <row r="9" customFormat="false" ht="31.5" hidden="false" customHeight="true" outlineLevel="0" collapsed="false">
      <c r="A9" s="7" t="s">
        <v>127</v>
      </c>
      <c r="B9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0"/>
    <col collapsed="false" customWidth="true" hidden="false" outlineLevel="0" max="10" min="10" style="0" width="4"/>
    <col collapsed="false" customWidth="true" hidden="false" outlineLevel="0" max="11" min="11" style="0" width="30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30" hidden="false" customHeight="true" outlineLevel="0" collapsed="false">
      <c r="A4" s="6" t="s">
        <v>130</v>
      </c>
      <c r="B4" s="6" t="s">
        <v>131</v>
      </c>
      <c r="C4" s="6" t="s">
        <v>132</v>
      </c>
      <c r="D4" s="6" t="s">
        <v>133</v>
      </c>
      <c r="E4" s="6" t="s">
        <v>134</v>
      </c>
      <c r="F4" s="6" t="s">
        <v>135</v>
      </c>
      <c r="G4" s="6" t="s">
        <v>136</v>
      </c>
      <c r="H4" s="6" t="s">
        <v>137</v>
      </c>
      <c r="K4" s="23" t="s">
        <v>138</v>
      </c>
      <c r="L4" s="23" t="s">
        <v>139</v>
      </c>
    </row>
    <row r="5" customFormat="false" ht="15" hidden="false" customHeight="false" outlineLevel="0" collapsed="false">
      <c r="A5" s="14" t="n">
        <v>1</v>
      </c>
      <c r="B5" s="11" t="n">
        <v>100</v>
      </c>
      <c r="C5" s="11" t="n">
        <v>90</v>
      </c>
      <c r="D5" s="11" t="n">
        <v>115</v>
      </c>
      <c r="E5" s="21"/>
      <c r="F5" s="21"/>
      <c r="G5" s="18"/>
      <c r="H5" s="18"/>
      <c r="K5" s="14" t="s">
        <v>140</v>
      </c>
      <c r="L5" s="11" t="n">
        <v>30</v>
      </c>
    </row>
    <row r="6" customFormat="false" ht="15" hidden="false" customHeight="false" outlineLevel="0" collapsed="false">
      <c r="A6" s="14" t="n">
        <v>2</v>
      </c>
      <c r="B6" s="11" t="n">
        <v>120</v>
      </c>
      <c r="C6" s="11" t="n">
        <v>110</v>
      </c>
      <c r="D6" s="11" t="n">
        <v>135</v>
      </c>
      <c r="E6" s="21"/>
      <c r="F6" s="21"/>
      <c r="G6" s="18"/>
      <c r="H6" s="18"/>
      <c r="K6" s="14" t="s">
        <v>141</v>
      </c>
      <c r="L6" s="11" t="n">
        <v>5</v>
      </c>
    </row>
    <row r="7" customFormat="false" ht="15" hidden="false" customHeight="false" outlineLevel="0" collapsed="false">
      <c r="A7" s="14" t="n">
        <v>3</v>
      </c>
      <c r="B7" s="11" t="n">
        <v>80</v>
      </c>
      <c r="C7" s="11" t="n">
        <v>70</v>
      </c>
      <c r="D7" s="11" t="n">
        <v>95</v>
      </c>
      <c r="E7" s="21"/>
      <c r="F7" s="21"/>
      <c r="G7" s="18"/>
      <c r="H7" s="18"/>
    </row>
    <row r="8" customFormat="false" ht="15" hidden="false" customHeight="false" outlineLevel="0" collapsed="false">
      <c r="A8" s="14" t="n">
        <v>4</v>
      </c>
      <c r="B8" s="11" t="n">
        <v>140</v>
      </c>
      <c r="C8" s="11" t="n">
        <v>130</v>
      </c>
      <c r="D8" s="11" t="n">
        <v>155</v>
      </c>
      <c r="E8" s="21"/>
      <c r="F8" s="21"/>
      <c r="G8" s="18"/>
      <c r="H8" s="18"/>
    </row>
    <row r="9" customFormat="false" ht="15" hidden="false" customHeight="false" outlineLevel="0" collapsed="false">
      <c r="A9" s="14" t="n">
        <v>5</v>
      </c>
      <c r="B9" s="11" t="n">
        <v>100</v>
      </c>
      <c r="C9" s="11" t="n">
        <v>90</v>
      </c>
      <c r="D9" s="11" t="n">
        <v>115</v>
      </c>
      <c r="E9" s="21"/>
      <c r="F9" s="21"/>
      <c r="G9" s="18"/>
      <c r="H9" s="18"/>
    </row>
    <row r="10" customFormat="false" ht="15" hidden="false" customHeight="false" outlineLevel="0" collapsed="false">
      <c r="A10" s="14" t="n">
        <v>6</v>
      </c>
      <c r="B10" s="11" t="n">
        <v>160</v>
      </c>
      <c r="C10" s="11" t="n">
        <v>150</v>
      </c>
      <c r="D10" s="11" t="n">
        <v>175</v>
      </c>
      <c r="E10" s="21"/>
      <c r="F10" s="21"/>
      <c r="G10" s="18"/>
      <c r="H10" s="18"/>
    </row>
    <row r="12" customFormat="false" ht="15" hidden="false" customHeight="false" outlineLevel="0" collapsed="false">
      <c r="A12" s="7" t="s">
        <v>109</v>
      </c>
      <c r="E12" s="24"/>
      <c r="F12" s="24"/>
    </row>
    <row r="13" customFormat="false" ht="15" hidden="false" customHeight="false" outlineLevel="0" collapsed="false">
      <c r="A13" s="7" t="s">
        <v>142</v>
      </c>
      <c r="G13" s="18"/>
      <c r="H13" s="18"/>
    </row>
    <row r="15" customFormat="false" ht="15" hidden="false" customHeight="false" outlineLevel="0" collapsed="false">
      <c r="A15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2026-10-24T23:10:04Z</dcterms:created>
  <dc:creator>openpyxl</dc:creator>
  <dc:description/>
  <dc:language>en-US</dc:language>
  <cp:lastModifiedBy/>
  <dcterms:modified xsi:type="dcterms:W3CDTF">2026-10-24T23:10:04Z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