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Bai1_GopNhom" sheetId="2" state="visible" r:id="rId4"/>
    <sheet name="Bai2_SuKien" sheetId="3" state="visible" r:id="rId5"/>
    <sheet name="Bai3_ChamDie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<sst xmlns="http://schemas.openxmlformats.org/spreadsheetml/2006/main" count="84" uniqueCount="77">
  <si>
    <t xml:space="preserve">BUỔI 10 · DỰ ÁN CUỐI KHÓA: MÔ PHỎNG HỌP S&amp;OP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</si>
  <si>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</si>
  <si>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</si>
  <si>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</si>
  <si>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Gộp portfolio cá nhân thành gói S&amp;OP của nhóm; trình bày như cuộc họp thật trước 'hội đồng S&amp;OP'.</t>
  </si>
  <si>
    <t xml:space="preserve">Xử lý một sự kiện bất ngờ trong 5 phút; ra quyết định có số và có đánh đổi.</t>
  </si>
  <si>
    <t xml:space="preserve">Bàn giao kế hoạch nhu cầu cho Production Planning.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</si>
  <si>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</si>
  <si>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</si>
  <si>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</si>
  <si>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</si>
  <si>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Bai1_GopNhom</t>
  </si>
  <si>
    <t xml:space="preserve">Mỗi thành viên dán dòng tổng doanh thu 12 tháng từ sheet 08 của mình; xem tổng nhóm.</t>
  </si>
  <si>
    <t xml:space="preserve">15'</t>
  </si>
  <si>
    <t xml:space="preserve">Bai2_SuKien</t>
  </si>
  <si>
    <t xml:space="preserve">Bốc phiếu sự kiện, lượng hóa tác động lên nhu cầu/tồn kho/doanh thu, chọn phương án.</t>
  </si>
  <si>
    <t xml:space="preserve">20'</t>
  </si>
  <si>
    <t xml:space="preserve">Bai3_ChamDiem</t>
  </si>
  <si>
    <t xml:space="preserve">Hội đồng chấm phần trình bày nhóm theo rubric (giảng viên + khách mời).</t>
  </si>
  <si>
    <t xml:space="preserve">Khi trình bày</t>
  </si>
  <si>
    <t xml:space="preserve">Dữ liệu</t>
  </si>
  <si>
    <t xml:space="preserve">Kết quả capstone cá nhân của các thành viên.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</si>
  <si>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</si>
  <si>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</si>
  <si>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</si>
  <si>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</si>
  <si>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</si>
  <si>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</si>
  <si>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</si>
  <si>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Mỗi nhóm 8 phút trình bày + 4 phút hỏi đáp; sự kiện bất ngờ công bố khi nhóm bắt đầu trình bày.</t>
  </si>
  <si>
    <t xml:space="preserve">Câu hỏi hội đồng hay hỏi: 'Số này chưa hay đã giới hạn năng lực?', 'Nếu sai 20% thì sao?', 'Bạn cần tôi quyết định gì?'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</si>
  <si>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</si>
  <si>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Bài 1 · Gói S&amp;OP của nhóm (doanh thu, triệu đồng)</t>
  </si>
  <si>
    <t xml:space="preserve">Mỗi dòng một thành viên (dán giá trị từ 08_SOP_1Trang dòng Tổng).</t>
  </si>
  <si>
    <t xml:space="preserve">Thành viên / portfolio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</si>
  <si>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</si>
  <si>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</si>
  <si>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</si>
  <si>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</si>
  <si>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</si>
  <si>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</si>
  <si>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</si>
  <si>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</si>
  <si>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</si>
  <si>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</si>
  <si>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</si>
  <si>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</si>
  <si>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Tổng</t>
  </si>
  <si>
    <t xml:space="preserve">Tổng nhóm</t>
  </si>
  <si>
    <t xml:space="preserve">Bài 2 · Phiếu sự kiện bất ngờ</t>
  </si>
  <si>
    <t xml:space="preserve">Giảng viên công bố 1 phiếu khi nhóm bắt đầu trình bày.</t>
  </si>
  <si>
    <t xml:space="preserve">Phiếu</t>
  </si>
  <si>
    <t xml:space="preserve">Sự kiện</t>
  </si>
  <si>
    <t xml:space="preserve">Gợi ý lượng hóa (bản đáp án)</t>
  </si>
  <si>
    <t xml:space="preserve">A · Đối thủ giảm giá</t>
  </si>
  <si>
    <t xml:space="preserve">Đối thủ giảm 15% giá mì gói ở kênh MT từ 15/11/2026 trong 6 tuần.</t>
  </si>
  <si>
    <t xml:space="preserve">B · Đứt nguyên liệu</t>
  </si>
  <si>
    <t xml:space="preserve">Nhà cung cấp phôi chai PET báo giảm 30% lượng giao tháng 12/2026.</t>
  </si>
  <si>
    <t xml:space="preserve">C · Đơn xuất khẩu lớn</t>
  </si>
  <si>
    <t xml:space="preserve">Khách OEM xin báo giá 40 lô H03 giao 02/2027 (bình thường 2–3 lô/tháng).</t>
  </si>
  <si>
    <t xml:space="preserve">D · Thời tiết</t>
  </si>
  <si>
    <t xml:space="preserve">Dự báo nắng nóng kéo dài sớm từ 03/2027.</t>
  </si>
  <si>
    <t xml:space="preserve">Bài 3 · Phiếu chấm trình bày nhóm (15% tổng điểm khóa)</t>
  </si>
  <si>
    <t xml:space="preserve">Thang 0–4 mỗi tiêu chí (xem rubric trong Capstone_Brief).</t>
  </si>
  <si>
    <t xml:space="preserve">Tiêu chí (trọng số)</t>
  </si>
  <si>
    <t xml:space="preserve">Nhóm 1</t>
  </si>
  <si>
    <t xml:space="preserve">Nhóm 2</t>
  </si>
  <si>
    <t xml:space="preserve">Nhóm 3</t>
  </si>
  <si>
    <t xml:space="preserve">Nhóm 4</t>
  </si>
  <si>
    <t xml:space="preserve">Nhóm 5</t>
  </si>
  <si>
    <t xml:space="preserve">Nhóm 6</t>
  </si>
  <si>
    <t xml:space="preserve">Thông điệp chính &amp; cấu trúc (20%)</t>
  </si>
  <si>
    <t xml:space="preserve">Chất lượng con số &amp; giả định (25%)</t>
  </si>
  <si>
    <t xml:space="preserve">Xử lý sự kiện bất ngờ (25%)</t>
  </si>
  <si>
    <t xml:space="preserve">Đánh đổi &amp; đề xuất quyết định (20%)</t>
  </si>
  <si>
    <t xml:space="preserve">Trả lời câu hỏi hội đồng (10%)</t>
  </si>
  <si>
    <t xml:space="preserve">Điểm (thang 100)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</si>
</sst>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77B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3</v>
      </c>
      <c r="C8" s="5" t="s">
        <v>5</v>
      </c>
    </row>
    <row r="9" customFormat="false" ht="15" hidden="false" customHeight="false" outlineLevel="0" collapsed="false">
      <c r="B9" s="4" t="s">
        <v>3</v>
      </c>
      <c r="C9" s="5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6" t="s">
        <v>8</v>
      </c>
      <c r="C12" s="6" t="s">
        <v>9</v>
      </c>
      <c r="D12" s="6" t="s">
        <v>10</v>
      </c>
    </row>
    <row r="13" customFormat="false" ht="30" hidden="false" customHeight="true" outlineLevel="0" collapsed="false">
      <c r="B13" s="7" t="s">
        <v>11</v>
      </c>
      <c r="C13" s="8" t="s">
        <v>12</v>
      </c>
      <c r="D13" s="9" t="s">
        <v>13</v>
      </c>
    </row>
    <row r="14" customFormat="false" ht="30" hidden="false" customHeight="true" outlineLevel="0" collapsed="false">
      <c r="B14" s="7" t="s">
        <v>14</v>
      </c>
      <c r="C14" s="8" t="s">
        <v>15</v>
      </c>
      <c r="D14" s="9" t="s">
        <v>16</v>
      </c>
    </row>
    <row r="15" customFormat="false" ht="30" hidden="false" customHeight="true" outlineLevel="0" collapsed="false">
      <c r="B15" s="7" t="s">
        <v>17</v>
      </c>
      <c r="C15" s="8" t="s">
        <v>18</v>
      </c>
      <c r="D15" s="9" t="s">
        <v>19</v>
      </c>
    </row>
    <row r="17" customFormat="false" ht="15" hidden="false" customHeight="false" outlineLevel="0" collapsed="false">
      <c r="B17" s="3" t="s">
        <v>20</v>
      </c>
    </row>
    <row r="18" customFormat="false" ht="15" hidden="false" customHeight="true" outlineLevel="0" collapsed="false">
      <c r="C18" s="5" t="s">
        <v>21</v>
      </c>
    </row>
    <row r="20" customFormat="false" ht="15" hidden="false" customHeight="false" outlineLevel="0" collapsed="false">
      <c r="B20" s="3" t="s">
        <v>22</v>
      </c>
    </row>
    <row r="21" customFormat="false" ht="15" hidden="false" customHeight="false" outlineLevel="0" collapsed="false">
      <c r="B21" s="10" t="s">
        <v>23</v>
      </c>
      <c r="C21" s="4" t="s">
        <v>24</v>
      </c>
    </row>
    <row r="22" customFormat="false" ht="15" hidden="false" customHeight="false" outlineLevel="0" collapsed="false">
      <c r="B22" s="11" t="s">
        <v>23</v>
      </c>
      <c r="C22" s="4" t="s">
        <v>25</v>
      </c>
    </row>
    <row r="23" customFormat="false" ht="15" hidden="false" customHeight="false" outlineLevel="0" collapsed="false">
      <c r="B23" s="12" t="s">
        <v>23</v>
      </c>
      <c r="C23" s="4" t="s">
        <v>26</v>
      </c>
    </row>
    <row r="24" customFormat="false" ht="15" hidden="false" customHeight="false" outlineLevel="0" collapsed="false">
      <c r="B24" s="13" t="s">
        <v>23</v>
      </c>
      <c r="C24" s="4" t="s">
        <v>27</v>
      </c>
    </row>
    <row r="26" customFormat="false" ht="15" hidden="false" customHeight="false" outlineLevel="0" collapsed="false">
      <c r="B26" s="3" t="s">
        <v>28</v>
      </c>
    </row>
    <row r="27" customFormat="false" ht="30" hidden="false" customHeight="true" outlineLevel="0" collapsed="false">
      <c r="B27" s="4" t="s">
        <v>3</v>
      </c>
      <c r="C27" s="5" t="s">
        <v>29</v>
      </c>
    </row>
    <row r="28" customFormat="false" ht="30" hidden="false" customHeight="true" outlineLevel="0" collapsed="false">
      <c r="B28" s="4" t="s">
        <v>3</v>
      </c>
      <c r="C28" s="5" t="s">
        <v>30</v>
      </c>
    </row>
    <row r="30" customFormat="false" ht="15" hidden="false" customHeight="false" outlineLevel="0" collapsed="false">
      <c r="B30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0"/>
  </cols>
  <sheetData>
    <row r="1" customFormat="false" ht="30" hidden="false" customHeight="tru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  <c r="M4" s="6" t="s">
        <v>46</v>
      </c>
      <c r="N4" s="6" t="s">
        <v>47</v>
      </c>
    </row>
    <row r="5" customFormat="false" ht="15" hidden="false" customHeight="false" outlineLevel="0" collapsed="false">
      <c r="A5" s="10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 t="n">
        <f aca="false">SUM(B5:M5)</f>
        <v>0</v>
      </c>
    </row>
    <row r="6" customFormat="false" ht="15" hidden="false" customHeight="false" outlineLevel="0" collapsed="false">
      <c r="A6" s="10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 t="n">
        <f aca="false">SUM(B6:M6)</f>
        <v>0</v>
      </c>
    </row>
    <row r="7" customFormat="false" ht="15" hidden="false" customHeight="false" outlineLevel="0" collapsed="false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 t="n">
        <f aca="false">SUM(B7:M7)</f>
        <v>0</v>
      </c>
    </row>
    <row r="8" customFormat="false" ht="15" hidden="false" customHeight="false" outlineLevel="0" collapsed="false">
      <c r="A8" s="10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 t="n">
        <f aca="false">SUM(B8:M8)</f>
        <v>0</v>
      </c>
    </row>
    <row r="9" customFormat="false" ht="15" hidden="false" customHeight="false" outlineLevel="0" collapsed="false">
      <c r="A9" s="10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 t="n">
        <f aca="false">SUM(B9:M9)</f>
        <v>0</v>
      </c>
    </row>
    <row r="10" customFormat="false" ht="15" hidden="false" customHeight="false" outlineLevel="0" collapsed="false">
      <c r="A10" s="1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 t="n">
        <f aca="false">SUM(B10:M10)</f>
        <v>0</v>
      </c>
    </row>
    <row r="11" customFormat="false" ht="15" hidden="false" customHeight="false" outlineLevel="0" collapsed="false">
      <c r="A11" s="7" t="s">
        <v>48</v>
      </c>
      <c r="B11" s="15" t="n">
        <f aca="false">SUM(B5:B10)</f>
        <v>0</v>
      </c>
      <c r="C11" s="15" t="n">
        <f aca="false">SUM(C5:C10)</f>
        <v>0</v>
      </c>
      <c r="D11" s="15" t="n">
        <f aca="false">SUM(D5:D10)</f>
        <v>0</v>
      </c>
      <c r="E11" s="15" t="n">
        <f aca="false">SUM(E5:E10)</f>
        <v>0</v>
      </c>
      <c r="F11" s="15" t="n">
        <f aca="false">SUM(F5:F10)</f>
        <v>0</v>
      </c>
      <c r="G11" s="15" t="n">
        <f aca="false">SUM(G5:G10)</f>
        <v>0</v>
      </c>
      <c r="H11" s="15" t="n">
        <f aca="false">SUM(H5:H10)</f>
        <v>0</v>
      </c>
      <c r="I11" s="15" t="n">
        <f aca="false">SUM(I5:I10)</f>
        <v>0</v>
      </c>
      <c r="J11" s="15" t="n">
        <f aca="false">SUM(J5:J10)</f>
        <v>0</v>
      </c>
      <c r="K11" s="15" t="n">
        <f aca="false">SUM(K5:K10)</f>
        <v>0</v>
      </c>
      <c r="L11" s="15" t="n">
        <f aca="false">SUM(L5:L10)</f>
        <v>0</v>
      </c>
      <c r="M11" s="15" t="n">
        <f aca="false">SUM(M5:M10)</f>
        <v>0</v>
      </c>
      <c r="N11" s="15" t="n">
        <f aca="false">SUM(N5:N10)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0" hidden="false" customHeight="true" outlineLevel="0" collapsed="false">
      <c r="A4" s="6" t="s">
        <v>51</v>
      </c>
      <c r="B4" s="6" t="s">
        <v>52</v>
      </c>
      <c r="C4" s="6" t="s">
        <v>53</v>
      </c>
    </row>
    <row r="5" customFormat="false" ht="60" hidden="false" customHeight="true" outlineLevel="0" collapsed="false">
      <c r="A5" s="16" t="s">
        <v>54</v>
      </c>
      <c r="B5" s="8" t="s">
        <v>55</v>
      </c>
      <c r="C5" s="17"/>
    </row>
    <row r="6" customFormat="false" ht="60" hidden="false" customHeight="true" outlineLevel="0" collapsed="false">
      <c r="A6" s="16" t="s">
        <v>56</v>
      </c>
      <c r="B6" s="8" t="s">
        <v>57</v>
      </c>
      <c r="C6" s="17"/>
    </row>
    <row r="7" customFormat="false" ht="60" hidden="false" customHeight="true" outlineLevel="0" collapsed="false">
      <c r="A7" s="16" t="s">
        <v>58</v>
      </c>
      <c r="B7" s="8" t="s">
        <v>59</v>
      </c>
      <c r="C7" s="17"/>
    </row>
    <row r="8" customFormat="false" ht="60" hidden="false" customHeight="true" outlineLevel="0" collapsed="false">
      <c r="A8" s="16" t="s">
        <v>60</v>
      </c>
      <c r="B8" s="8" t="s">
        <v>61</v>
      </c>
      <c r="C8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30" hidden="false" customHeight="tru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6" t="s">
        <v>64</v>
      </c>
      <c r="B4" s="6" t="s">
        <v>65</v>
      </c>
      <c r="C4" s="6" t="s">
        <v>66</v>
      </c>
      <c r="D4" s="6" t="s">
        <v>67</v>
      </c>
      <c r="E4" s="6" t="s">
        <v>68</v>
      </c>
      <c r="F4" s="6" t="s">
        <v>69</v>
      </c>
      <c r="G4" s="6" t="s">
        <v>70</v>
      </c>
    </row>
    <row r="5" customFormat="false" ht="15" hidden="false" customHeight="false" outlineLevel="0" collapsed="false">
      <c r="A5" s="7" t="s">
        <v>71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7" t="s">
        <v>72</v>
      </c>
      <c r="B6" s="18"/>
      <c r="C6" s="18"/>
      <c r="D6" s="18"/>
      <c r="E6" s="18"/>
      <c r="F6" s="18"/>
      <c r="G6" s="18"/>
    </row>
    <row r="7" customFormat="false" ht="15" hidden="false" customHeight="false" outlineLevel="0" collapsed="false">
      <c r="A7" s="7" t="s">
        <v>73</v>
      </c>
      <c r="B7" s="18"/>
      <c r="C7" s="18"/>
      <c r="D7" s="18"/>
      <c r="E7" s="18"/>
      <c r="F7" s="18"/>
      <c r="G7" s="18"/>
    </row>
    <row r="8" customFormat="false" ht="15" hidden="false" customHeight="false" outlineLevel="0" collapsed="false">
      <c r="A8" s="7" t="s">
        <v>74</v>
      </c>
      <c r="B8" s="18"/>
      <c r="C8" s="18"/>
      <c r="D8" s="18"/>
      <c r="E8" s="18"/>
      <c r="F8" s="18"/>
      <c r="G8" s="18"/>
    </row>
    <row r="9" customFormat="false" ht="15" hidden="false" customHeight="false" outlineLevel="0" collapsed="false">
      <c r="A9" s="7" t="s">
        <v>75</v>
      </c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7" t="s">
        <v>76</v>
      </c>
      <c r="B10" s="19" t="str">
        <f aca="false">IF(COUNT(B5:B9)=0,"",(0.2*B5+0.25*B6+0.25*B7+0.2*B8+0.1*B9)/4*100)</f>
        <v/>
      </c>
      <c r="C10" s="19" t="str">
        <f aca="false">IF(COUNT(C5:C9)=0,"",(0.2*C5+0.25*C6+0.25*C7+0.2*C8+0.1*C9)/4*100)</f>
        <v/>
      </c>
      <c r="D10" s="19" t="str">
        <f aca="false">IF(COUNT(D5:D9)=0,"",(0.2*D5+0.25*D6+0.25*D7+0.2*D8+0.1*D9)/4*100)</f>
        <v/>
      </c>
      <c r="E10" s="19" t="str">
        <f aca="false">IF(COUNT(E5:E9)=0,"",(0.2*E5+0.25*E6+0.25*E7+0.2*E8+0.1*E9)/4*100)</f>
        <v/>
      </c>
      <c r="F10" s="19" t="str">
        <f aca="false">IF(COUNT(F5:F9)=0,"",(0.2*F5+0.25*F6+0.25*F7+0.2*F8+0.1*F9)/4*100)</f>
        <v/>
      </c>
      <c r="G10" s="19" t="str">
        <f aca="false">IF(COUNT(G5:G9)=0,"",(0.2*G5+0.25*G6+0.25*G7+0.2*G8+0.1*G9)/4*100)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2026-10-24T23:10:33Z</dcterms:created>
  <dc:creator>openpyxl</dc:creator>
  <dc:description/>
  <dc:language>en-US</dc:language>
  <cp:lastModifiedBy/>
  <dcterms:modified xsi:type="dcterms:W3CDTF">2026-10-24T23:10:33Z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