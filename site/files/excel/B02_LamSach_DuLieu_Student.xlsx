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media/image1.png" ContentType="image/p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sharedStrings.xml" ContentType="application/vnd.openxmlformats-officedocument.spreadsheetml.sharedString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Dan" sheetId="1" state="visible" r:id="rId3"/>
    <sheet name="Bai1_N01_GT" sheetId="2" state="visible" r:id="rId4"/>
    <sheet name="Bai2_HetHang" sheetId="3" state="visible" r:id="rId5"/>
    <sheet name="Bai3_N03_IQR" sheetId="4" state="visible" r:id="rId6"/>
    <sheet name="Bai4_DoiMa_Thieu" sheetId="5" state="visible" r:id="rId7"/>
    <sheet name="Bai5_NhatKy" sheetId="6" state="visible" r:id="rId8"/>
    <sheet name="MoRong_SuKie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6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7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8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9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10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11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12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13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14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15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16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17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18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19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20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21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22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23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24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25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26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27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28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29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30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31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32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33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34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35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36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37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38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39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E40" authorId="0">
      <text>
        <r>
          <rPr>
            <sz val="10"/>
            <rFont val="Arial"/>
            <family val="2"/>
          </rPr>
          <t xml:space="preserve">=Xuất kho/Sell-out − 1</t>
        </r>
      </text>
    </comment>
    <comment ref="F5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6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7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8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9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10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11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12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13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14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15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16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17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18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19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20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21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22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23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24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25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26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27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28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29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30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31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32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33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34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35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36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37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38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39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  <comment ref="F40" authorId="0">
      <text>
        <r>
          <rPr>
            <sz val="10"/>
            <rFont val="Arial"/>
            <family val="2"/>
          </rPr>
          <t xml:space="preserve">Nguồn nào gần người mua nhất?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Nếu có hết hàng: Xuất kho × Số ngày / (Số ngày − Ngày hết hàng)</t>
        </r>
      </text>
    </comment>
    <comment ref="E6" authorId="0">
      <text>
        <r>
          <rPr>
            <sz val="10"/>
            <rFont val="Arial"/>
            <family val="2"/>
          </rPr>
          <t xml:space="preserve">Nếu có hết hàng: Xuất kho × Số ngày / (Số ngày − Ngày hết hàng)</t>
        </r>
      </text>
    </comment>
    <comment ref="E7" authorId="0">
      <text>
        <r>
          <rPr>
            <sz val="10"/>
            <rFont val="Arial"/>
            <family val="2"/>
          </rPr>
          <t xml:space="preserve">Nếu có hết hàng: Xuất kho × Số ngày / (Số ngày − Ngày hết hàng)</t>
        </r>
      </text>
    </comment>
    <comment ref="E8" authorId="0">
      <text>
        <r>
          <rPr>
            <sz val="10"/>
            <rFont val="Arial"/>
            <family val="2"/>
          </rPr>
          <t xml:space="preserve">Nếu có hết hàng: Xuất kho × Số ngày / (Số ngày − Ngày hết hàng)</t>
        </r>
      </text>
    </comment>
    <comment ref="E9" authorId="0">
      <text>
        <r>
          <rPr>
            <sz val="10"/>
            <rFont val="Arial"/>
            <family val="2"/>
          </rPr>
          <t xml:space="preserve">Nếu có hết hàng: Xuất kho × Số ngày / (Số ngày − Ngày hết hàng)</t>
        </r>
      </text>
    </comment>
    <comment ref="E10" authorId="0">
      <text>
        <r>
          <rPr>
            <sz val="10"/>
            <rFont val="Arial"/>
            <family val="2"/>
          </rPr>
          <t xml:space="preserve">Nếu có hết hàng: Xuất kho × Số ngày / (Số ngày − Ngày hết hàng)</t>
        </r>
      </text>
    </comment>
    <comment ref="E11" authorId="0">
      <text>
        <r>
          <rPr>
            <sz val="10"/>
            <rFont val="Arial"/>
            <family val="2"/>
          </rPr>
          <t xml:space="preserve">Nếu có hết hàng: Xuất kho × Số ngày / (Số ngày − Ngày hết hàng)</t>
        </r>
      </text>
    </comment>
    <comment ref="K5" authorId="0">
      <text>
        <r>
          <rPr>
            <sz val="10"/>
            <rFont val="Arial"/>
            <family val="2"/>
          </rPr>
          <t xml:space="preserve">=Xuất kho / Đơn PO (fill rate)</t>
        </r>
      </text>
    </comment>
    <comment ref="K6" authorId="0">
      <text>
        <r>
          <rPr>
            <sz val="10"/>
            <rFont val="Arial"/>
            <family val="2"/>
          </rPr>
          <t xml:space="preserve">=Xuất kho / Đơn PO (fill rate)</t>
        </r>
      </text>
    </comment>
    <comment ref="K7" authorId="0">
      <text>
        <r>
          <rPr>
            <sz val="10"/>
            <rFont val="Arial"/>
            <family val="2"/>
          </rPr>
          <t xml:space="preserve">=Xuất kho / Đơn PO (fill rate)</t>
        </r>
      </text>
    </comment>
    <comment ref="K8" authorId="0">
      <text>
        <r>
          <rPr>
            <sz val="10"/>
            <rFont val="Arial"/>
            <family val="2"/>
          </rPr>
          <t xml:space="preserve">=Xuất kho / Đơn PO (fill rate)</t>
        </r>
      </text>
    </comment>
    <comment ref="K9" authorId="0">
      <text>
        <r>
          <rPr>
            <sz val="10"/>
            <rFont val="Arial"/>
            <family val="2"/>
          </rPr>
          <t xml:space="preserve">=Xuất kho / Đơn PO (fill rate)</t>
        </r>
      </text>
    </comment>
    <comment ref="K10" authorId="0">
      <text>
        <r>
          <rPr>
            <sz val="10"/>
            <rFont val="Arial"/>
            <family val="2"/>
          </rPr>
          <t xml:space="preserve">=Xuất kho / Đơn PO (fill rate)</t>
        </r>
      </text>
    </comment>
    <comment ref="K11" authorId="0">
      <text>
        <r>
          <rPr>
            <sz val="10"/>
            <rFont val="Arial"/>
            <family val="2"/>
          </rPr>
          <t xml:space="preserve">=Xuất kho / Đơn PO (fill rate)</t>
        </r>
      </text>
    </comment>
    <comment ref="L5" authorId="0">
      <text>
        <r>
          <rPr>
            <sz val="10"/>
            <rFont val="Arial"/>
            <family val="2"/>
          </rPr>
          <t xml:space="preserve">Kênh MT: PO phản ánh nhu cầu của chuỗi</t>
        </r>
      </text>
    </comment>
    <comment ref="L6" authorId="0">
      <text>
        <r>
          <rPr>
            <sz val="10"/>
            <rFont val="Arial"/>
            <family val="2"/>
          </rPr>
          <t xml:space="preserve">Kênh MT: PO phản ánh nhu cầu của chuỗi</t>
        </r>
      </text>
    </comment>
    <comment ref="L7" authorId="0">
      <text>
        <r>
          <rPr>
            <sz val="10"/>
            <rFont val="Arial"/>
            <family val="2"/>
          </rPr>
          <t xml:space="preserve">Kênh MT: PO phản ánh nhu cầu của chuỗi</t>
        </r>
      </text>
    </comment>
    <comment ref="L8" authorId="0">
      <text>
        <r>
          <rPr>
            <sz val="10"/>
            <rFont val="Arial"/>
            <family val="2"/>
          </rPr>
          <t xml:space="preserve">Kênh MT: PO phản ánh nhu cầu của chuỗi</t>
        </r>
      </text>
    </comment>
    <comment ref="L9" authorId="0">
      <text>
        <r>
          <rPr>
            <sz val="10"/>
            <rFont val="Arial"/>
            <family val="2"/>
          </rPr>
          <t xml:space="preserve">Kênh MT: PO phản ánh nhu cầu của chuỗi</t>
        </r>
      </text>
    </comment>
    <comment ref="L10" authorId="0">
      <text>
        <r>
          <rPr>
            <sz val="10"/>
            <rFont val="Arial"/>
            <family val="2"/>
          </rPr>
          <t xml:space="preserve">Kênh MT: PO phản ánh nhu cầu của chuỗi</t>
        </r>
      </text>
    </comment>
    <comment ref="L11" authorId="0">
      <text>
        <r>
          <rPr>
            <sz val="10"/>
            <rFont val="Arial"/>
            <family val="2"/>
          </rPr>
          <t xml:space="preserve">Kênh MT: PO phản ánh nhu cầu của chuỗi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6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7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8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9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10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11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12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13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14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15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16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17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18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19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20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21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22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23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24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25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26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27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28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29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30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31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32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33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34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35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36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37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38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39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C40" authorId="0">
      <text>
        <r>
          <rPr>
            <sz val="10"/>
            <rFont val="Arial"/>
            <family val="2"/>
          </rPr>
          <t xml:space="preserve">=IF(OR(B&lt;ngưỡng dưới, B&gt;ngưỡng trên),"CỜ","")</t>
        </r>
      </text>
    </comment>
    <comment ref="D5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6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7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8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9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10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11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12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13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14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15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16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17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18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19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20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21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22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23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24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25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26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27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28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29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30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31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32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33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34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35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36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37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38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39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  <comment ref="D40" authorId="0">
      <text>
        <r>
          <rPr>
            <sz val="10"/>
            <rFont val="Arial"/>
            <family val="2"/>
          </rPr>
          <t xml:space="preserve">Nếu có cờ và số ≈ 24 lần mức thường → chia 24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=Cộng hai mã (SUM bỏ qua ô trống)</t>
        </r>
      </text>
    </comment>
    <comment ref="D6" authorId="0">
      <text>
        <r>
          <rPr>
            <sz val="10"/>
            <rFont val="Arial"/>
            <family val="2"/>
          </rPr>
          <t xml:space="preserve">=Cộng hai mã (SUM bỏ qua ô trống)</t>
        </r>
      </text>
    </comment>
    <comment ref="D7" authorId="0">
      <text>
        <r>
          <rPr>
            <sz val="10"/>
            <rFont val="Arial"/>
            <family val="2"/>
          </rPr>
          <t xml:space="preserve">=Cộng hai mã (SUM bỏ qua ô trống)</t>
        </r>
      </text>
    </comment>
    <comment ref="D8" authorId="0">
      <text>
        <r>
          <rPr>
            <sz val="10"/>
            <rFont val="Arial"/>
            <family val="2"/>
          </rPr>
          <t xml:space="preserve">=Cộng hai mã (SUM bỏ qua ô trống)</t>
        </r>
      </text>
    </comment>
    <comment ref="D9" authorId="0">
      <text>
        <r>
          <rPr>
            <sz val="10"/>
            <rFont val="Arial"/>
            <family val="2"/>
          </rPr>
          <t xml:space="preserve">=Cộng hai mã (SUM bỏ qua ô trống)</t>
        </r>
      </text>
    </comment>
    <comment ref="D10" authorId="0">
      <text>
        <r>
          <rPr>
            <sz val="10"/>
            <rFont val="Arial"/>
            <family val="2"/>
          </rPr>
          <t xml:space="preserve">=Cộng hai mã (SUM bỏ qua ô trống)</t>
        </r>
      </text>
    </comment>
    <comment ref="D11" authorId="0">
      <text>
        <r>
          <rPr>
            <sz val="10"/>
            <rFont val="Arial"/>
            <family val="2"/>
          </rPr>
          <t xml:space="preserve">=Cộng hai mã (SUM bỏ qua ô trống)</t>
        </r>
      </text>
    </comment>
    <comment ref="D12" authorId="0">
      <text>
        <r>
          <rPr>
            <sz val="10"/>
            <rFont val="Arial"/>
            <family val="2"/>
          </rPr>
          <t xml:space="preserve">=Cộng hai mã (SUM bỏ qua ô trống)</t>
        </r>
      </text>
    </comment>
    <comment ref="D13" authorId="0">
      <text>
        <r>
          <rPr>
            <sz val="10"/>
            <rFont val="Arial"/>
            <family val="2"/>
          </rPr>
          <t xml:space="preserve">=Cộng hai mã (SUM bỏ qua ô trống)</t>
        </r>
      </text>
    </comment>
    <comment ref="D14" authorId="0">
      <text>
        <r>
          <rPr>
            <sz val="10"/>
            <rFont val="Arial"/>
            <family val="2"/>
          </rPr>
          <t xml:space="preserve">=Cộng hai mã (SUM bỏ qua ô trống)</t>
        </r>
      </text>
    </comment>
    <comment ref="H8" authorId="0">
      <text>
        <r>
          <rPr>
            <sz val="10"/>
            <rFont val="Arial"/>
            <family val="2"/>
          </rPr>
          <t xml:space="preserve">Ô trống: nội suy = trung bình tháng trước và sau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Nội suy tuyến tính giữa 05 và 08</t>
        </r>
      </text>
    </comment>
    <comment ref="C9" authorId="0">
      <text>
        <r>
          <rPr>
            <sz val="10"/>
            <rFont val="Arial"/>
            <family val="2"/>
          </rPr>
          <t xml:space="preserve">Nội suy tuyến tính giữa 05 và 08</t>
        </r>
      </text>
    </comment>
  </commentList>
</comments>
</file>

<file path=xl/sharedStrings.xml><?xml version="1.0" encoding="utf-8"?>
<sst xmlns="http://schemas.openxmlformats.org/spreadsheetml/2006/main" count="273" uniqueCount="153">
  <si>
    <t xml:space="preserve">BUỔI 2 · HIỂU VÀ LÀM SẠCH DỮ LIỆU NHU CẦU</t>
  </si>
  <si>
    <t xml:space="preserve">ERX · Demand Planning &amp; Forecasting in Practice · BẢN HỌC VIÊN · Thư Nguyễn · thu.minh090997@gmail.com</t>
  </si>
  <si>
    <t xml:space="preserve">Mục tiêu</t>
  </si>
  <si>
    <t xml:space="preserve">•</t>
  </si>
  <si>
    <t xml:space="preserve">Phân biệt đơn hàng (orders) – xuất kho (shipments) – hàng trả về – bán ra (sell-out) – nhu cầu.</t>
  </si>
  <si>
    <t xml:space="preserve">Phát hiện bất thường bằng IQR và bằng mắt; phân loại: lỗi dữ liệu hay sự kiện thật.</t>
  </si>
  <si>
    <t xml:space="preserve">Phục hồi nhu cầu khi hết hàng, sửa lỗi đơn vị, nối mã cũ–mới, nội suy ô trống.</t>
  </si>
  <si>
    <t xml:space="preserve">Ghi nhật ký điều chỉnh: không xóa số gốc, mọi điều chỉnh có lý do và bằng chứng.</t>
  </si>
  <si>
    <t xml:space="preserve">Nhiệm vụ</t>
  </si>
  <si>
    <t xml:space="preserve">Sheet</t>
  </si>
  <si>
    <t xml:space="preserve">Việc cần làm</t>
  </si>
  <si>
    <t xml:space="preserve">Thời lượng</t>
  </si>
  <si>
    <t xml:space="preserve">Bai1_N01_GT</t>
  </si>
  <si>
    <t xml:space="preserve">So xuất kho với sell-out DMS: tính chênh lệch %, nhận ra mẫu đẩy hàng cuối quý; chọn nguồn nhu cầu.</t>
  </si>
  <si>
    <t xml:space="preserve">12'</t>
  </si>
  <si>
    <t xml:space="preserve">Bai2_HetHang</t>
  </si>
  <si>
    <t xml:space="preserve">S04 kênh GT (không ghi đơn bị từ chối) và B01 kênh MT (có PO của chuỗi): phục hồi nhu cầu tháng hết hàng.</t>
  </si>
  <si>
    <t xml:space="preserve">10'</t>
  </si>
  <si>
    <t xml:space="preserve">Bai3_N03_IQR</t>
  </si>
  <si>
    <t xml:space="preserve">Tính Q1, Q3, IQR, ngưỡng; gắn cờ; điều tra nguyên nhân bằng units_per_carton; sửa và so sánh.</t>
  </si>
  <si>
    <t xml:space="preserve">Bai4_DoiMa_Thieu</t>
  </si>
  <si>
    <t xml:space="preserve">Nối lịch sử S06 → S06N; nội suy tháng thiếu dữ liệu của S02 kênh MT.</t>
  </si>
  <si>
    <t xml:space="preserve">8'</t>
  </si>
  <si>
    <t xml:space="preserve">Bai5_NhatKy</t>
  </si>
  <si>
    <t xml:space="preserve">Ghi lại mọi điều chỉnh đã làm vào nhật ký (tháng, số gốc, số mới, quy tắc, lý do, bằng chứng).</t>
  </si>
  <si>
    <t xml:space="preserve">MoRong_SuKien</t>
  </si>
  <si>
    <t xml:space="preserve">S01 GT 06/2024: sự kiện thật hay lỗi? Dựng 3 lớp số: ghi nhận → nhu cầu → baseline. K02: hàng trả về.</t>
  </si>
  <si>
    <t xml:space="preserve">5'+</t>
  </si>
  <si>
    <t xml:space="preserve">Dữ liệu</t>
  </si>
  <si>
    <t xml:space="preserve">Trích từ bảng sales_history, sellout_dms và sku_master của case MBF. Số liệu chưa làm sạch.</t>
  </si>
  <si>
    <t xml:space="preserve">Quy ước màu</t>
  </si>
  <si>
    <t xml:space="preserve">Ví dụ 123</t>
  </si>
  <si>
    <t xml:space="preserve">Ô nhiệm vụ: học viên điền công thức (rê chuột xem gợi ý trong comment)</t>
  </si>
  <si>
    <t xml:space="preserve">Chữ xanh dương trên nền vàng: tham số/giả định có thể thay đổi</t>
  </si>
  <si>
    <t xml:space="preserve">Nền xanh nhạt: công thức đáp án (chỉ có ở bản đáp án)</t>
  </si>
  <si>
    <t xml:space="preserve">Chữ xanh lá: liên kết từ sheet khác</t>
  </si>
  <si>
    <t xml:space="preserve">Ghi chú</t>
  </si>
  <si>
    <t xml:space="preserve">Nguyên tắc vàng: giữ nguyên cột số gốc; làm sạch ở cột mới.</t>
  </si>
  <si>
    <t xml:space="preserve">Một outlier rất lớn chưa chắc là lỗi phải xóa — hỏi 'chuyện gì đã xảy ra?' trước khi sửa.</t>
  </si>
  <si>
    <t xml:space="preserve">Ưu tiên nguồn số gần người mua nhất: sell-out &gt; đơn hàng (MT) &gt; xuất kho.</t>
  </si>
  <si>
    <t xml:space="preserve">Quy ước toàn khóa: e = Actual − Forecast (e &gt; 0: dự báo thấp). Tiền: nghìn đồng nếu không ghi khác. Dữ liệu Mekong Bloom Foods là công ty GIẢ ĐỊNH phục vụ giảng dạy.</t>
  </si>
  <si>
    <t xml:space="preserve">Bài 1 · N01 Mì Tôm Chua Cay — kênh GT</t>
  </si>
  <si>
    <t xml:space="preserve">Xuất kho cho NPP (sell-in) so với NPP bán ra cửa hàng (sell-out DMS).</t>
  </si>
  <si>
    <t xml:space="preserve">Tháng</t>
  </si>
  <si>
    <t xml:space="preserve">Xuất kho</t>
  </si>
  <si>
    <t xml:space="preserve">Sell-out DMS</t>
  </si>
  <si>
    <t xml:space="preserve">Ngày hết hàng</t>
  </si>
  <si>
    <t xml:space="preserve">Chênh lệch %</t>
  </si>
  <si>
    <t xml:space="preserve">Nhu cầu chọn</t>
  </si>
  <si>
    <t xml:space="preserve">Chỉ tiêu</t>
  </si>
  <si>
    <t xml:space="preserve">Giá trị</t>
  </si>
  <si>
    <t xml:space="preserve">2023-10</t>
  </si>
  <si>
    <t xml:space="preserve">CV xuất kho</t>
  </si>
  <si>
    <t xml:space="preserve">2023-11</t>
  </si>
  <si>
    <t xml:space="preserve">CV sell-out</t>
  </si>
  <si>
    <t xml:space="preserve">2023-12</t>
  </si>
  <si>
    <t xml:space="preserve">Cuối quý</t>
  </si>
  <si>
    <t xml:space="preserve">Chênh lệch TB tháng cuối quý</t>
  </si>
  <si>
    <t xml:space="preserve">2024-01</t>
  </si>
  <si>
    <t xml:space="preserve">Tổng xuất kho 36 tháng</t>
  </si>
  <si>
    <t xml:space="preserve">2024-02</t>
  </si>
  <si>
    <t xml:space="preserve">Tổng sell-out 36 tháng</t>
  </si>
  <si>
    <t xml:space="preserve">2024-03</t>
  </si>
  <si>
    <t xml:space="preserve">2024-04</t>
  </si>
  <si>
    <t xml:space="preserve">Câu hỏi: Tổng 36 tháng gần bằng nhau, nhưng tháng nào lệch? Nếu dự báo bằng xuất kho, sai ở đâu?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</si>
  <si>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</si>
  <si>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</si>
  <si>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</si>
  <si>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</si>
  <si>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</si>
  <si>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</si>
  <si>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</si>
  <si>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</si>
  <si>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</si>
  <si>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Công ty hết hàng 6 ngày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</si>
  <si>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</si>
  <si>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</si>
  <si>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</si>
  <si>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</si>
  <si>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</si>
  <si>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</si>
  <si>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</si>
  <si>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</si>
  <si>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</si>
  <si>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</si>
  <si>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</si>
  <si>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</si>
  <si>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</si>
  <si>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</si>
  <si>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</si>
  <si>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</si>
  <si>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</si>
  <si>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</si>
  <si>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</si>
  <si>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</si>
  <si>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Bài 2 · Phục hồi nhu cầu khi hết hàng</t>
  </si>
  <si>
    <t xml:space="preserve">Trái: S04 kênh GT (NPP không ghi đơn bị từ chối). Phải: B01 kênh MT (chuỗi gửi PO, vẫn ghi đủ).</t>
  </si>
  <si>
    <t xml:space="preserve">Số ngày tháng</t>
  </si>
  <si>
    <t xml:space="preserve">Nhu cầu ước tính</t>
  </si>
  <si>
    <t xml:space="preserve">Phần mất do hết hàng</t>
  </si>
  <si>
    <t xml:space="preserve">Đơn PO</t>
  </si>
  <si>
    <t xml:space="preserve">Tỷ lệ đáp ứng</t>
  </si>
  <si>
    <t xml:space="preserve">Giả định: nhu cầu đều trong tháng. Kiểm tra lại: tháng sau có bật tăng (khách mua bù) không?</t>
  </si>
  <si>
    <t xml:space="preserve">Lưu ý: PO của chuỗi cũng có thể bị 'đặt dư' khi chuỗi biết sắp thiếu hàng — đối chiếu với sell-out POS nếu có.</t>
  </si>
  <si>
    <t xml:space="preserve">Bài 3 · N03 Mì Ly — kênh GT: phát hiện bất thường bằng IQR</t>
  </si>
  <si>
    <t xml:space="preserve">Ngưỡng = [Q1 − 1,5×IQR ; Q3 + 1,5×IQR]. units_per_carton của N03 = 24 ly/thùng.</t>
  </si>
  <si>
    <t xml:space="preserve">Cờ IQR</t>
  </si>
  <si>
    <t xml:space="preserve">Sau sửa</t>
  </si>
  <si>
    <t xml:space="preserve">Ghi chú điều tra</t>
  </si>
  <si>
    <t xml:space="preserve">Thống kê</t>
  </si>
  <si>
    <t xml:space="preserve">units_per_carton</t>
  </si>
  <si>
    <t xml:space="preserve">Q1</t>
  </si>
  <si>
    <t xml:space="preserve">Q3</t>
  </si>
  <si>
    <t xml:space="preserve">IQR</t>
  </si>
  <si>
    <t xml:space="preserve">Ngưỡng dưới</t>
  </si>
  <si>
    <t xml:space="preserve">Ngưỡng trên</t>
  </si>
  <si>
    <t xml:space="preserve">Trung bình trước sửa</t>
  </si>
  <si>
    <t xml:space="preserve">Trung bình sau sửa</t>
  </si>
  <si>
    <t xml:space="preserve">Câu hỏi: Một tháng lỗi làm trung bình 36 tháng lệch bao nhiêu %? Nếu dùng MA(3), ba tháng sau đó bị ảnh hưởng thế nào?</t>
  </si>
  <si>
    <t xml:space="preserve">Bài 4 · Nối mã cũ–mới (S06 → S06N, kênh GT) và nội suy ô trống (S02, kênh MT)</t>
  </si>
  <si>
    <t xml:space="preserve">S06 chai PET ngừng sau 02/2025; S06N chai thủy tinh bán từ 02/2025.</t>
  </si>
  <si>
    <t xml:space="preserve">S06 (mã cũ)</t>
  </si>
  <si>
    <t xml:space="preserve">S06N (mã mới)</t>
  </si>
  <si>
    <t xml:space="preserve">Hàng kế hoạch S06</t>
  </si>
  <si>
    <t xml:space="preserve">S02 MT gốc</t>
  </si>
  <si>
    <t xml:space="preserve">S02 MT làm sạch</t>
  </si>
  <si>
    <t xml:space="preserve">Báo cáo tự động đang coi ô trống = 0 → tháng 07/2025 bị hiểu là 'không bán được gì'.</t>
  </si>
  <si>
    <t xml:space="preserve">Nếu chỉ nhìn mã mới S06N, lịch sử chỉ có từ 02/2025 → 'sản phẩm mới giả'. Ai giữ bảng ánh xạ mã cũ–mới ở công ty bạn?</t>
  </si>
  <si>
    <t xml:space="preserve">Bài 5 · Nhật ký điều chỉnh dữ liệu</t>
  </si>
  <si>
    <t xml:space="preserve">Mỗi điều chỉnh = 1 dòng. Dòng 1 là ví dụ. Không có dòng nhật ký = không được sửa.</t>
  </si>
  <si>
    <t xml:space="preserve">Mã</t>
  </si>
  <si>
    <t xml:space="preserve">Kênh</t>
  </si>
  <si>
    <t xml:space="preserve">Số gốc</t>
  </si>
  <si>
    <t xml:space="preserve">Số sau điều chỉnh</t>
  </si>
  <si>
    <t xml:space="preserve">Quy tắc</t>
  </si>
  <si>
    <t xml:space="preserve">Lý do</t>
  </si>
  <si>
    <t xml:space="preserve">Bằng chứng</t>
  </si>
  <si>
    <t xml:space="preserve">N03</t>
  </si>
  <si>
    <t xml:space="preserve">GT</t>
  </si>
  <si>
    <t xml:space="preserve">Sửa đơn vị</t>
  </si>
  <si>
    <t xml:space="preserve">Số ghi theo đơn vị lẻ, chia 24</t>
  </si>
  <si>
    <t xml:space="preserve">Mở rộng · Ba lớp số: ghi nhận → nhu cầu → baseline</t>
  </si>
  <si>
    <t xml:space="preserve">S01 GT: 06/2024 có tin đồn tăng giá nước mắm (đã xác minh với Sales). K02 GT: hàng trả về sau Tết.</t>
  </si>
  <si>
    <t xml:space="preserve">Sell-out (nhu cầu)</t>
  </si>
  <si>
    <t xml:space="preserve">Baseline (loại sự kiện)</t>
  </si>
  <si>
    <t xml:space="preserve">Phần do sự kiện</t>
  </si>
  <si>
    <t xml:space="preserve">Hàng trả về</t>
  </si>
  <si>
    <t xml:space="preserve">Xuất kho ròng</t>
  </si>
  <si>
    <t xml:space="preserve">Tin đồn tăng giá → mua tích trữ</t>
  </si>
  <si>
    <t xml:space="preserve">Sụt sau tích trữ</t>
  </si>
  <si>
    <t xml:space="preserve">Hàng trả về tháng 3 là quà Tết bán không hết — nhu cầu tháng 3 KHÔNG âm. Dùng xuất kho gộp cho nhu cầu;</t>
  </si>
  <si>
    <t xml:space="preserve">phần trả về là tín hiệu Tết năm trước đã dự báo/đẩy hàng quá tay.</t>
  </si>
  <si>
    <t xml:space="preserve">Không xóa tháng 06–07/2024: giữ ở cột nhu cầu (để biết rủi ro tích trữ), nhưng dùng cột baseline để tính mùa vụ và dự báo.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</si>
</sst>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0.0%"/>
    <numFmt numFmtId="168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21"/>
      <name val="Arial"/>
      <family val="0"/>
      <charset val="1"/>
    </font>
    <font>
      <i val="true"/>
      <sz val="9"/>
      <color rgb="FF76777B"/>
      <name val="Arial"/>
      <family val="0"/>
      <charset val="1"/>
    </font>
    <font>
      <b val="true"/>
      <sz val="11"/>
      <color rgb="FF01AE4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1AE42"/>
        <bgColor rgb="FF008080"/>
      </patternFill>
    </fill>
    <fill>
      <patternFill patternType="solid">
        <fgColor rgb="FFFFF2CC"/>
        <bgColor rgb="FFEAF7EF"/>
      </patternFill>
    </fill>
    <fill>
      <patternFill patternType="solid">
        <fgColor rgb="FFEAF7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0"/>
      </left>
      <right style="thin">
        <color rgb="FFD0D4D0"/>
      </right>
      <top style="thin">
        <color rgb="FFD0D4D0"/>
      </top>
      <bottom style="thin">
        <color rgb="FFD0D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2CC"/>
      <rgbColor rgb="FFEAF7EF"/>
      <rgbColor rgb="FF660066"/>
      <rgbColor rgb="FFFF8080"/>
      <rgbColor rgb="FF0066CC"/>
      <rgbColor rgb="FFD0D4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20B"/>
      <rgbColor rgb="FF76777B"/>
      <rgbColor rgb="FF969696"/>
      <rgbColor rgb="FF003366"/>
      <rgbColor rgb="FF01AE42"/>
      <rgbColor rgb="FF003300"/>
      <rgbColor rgb="FF333300"/>
      <rgbColor rgb="FF993300"/>
      <rgbColor rgb="FF993366"/>
      <rgbColor rgb="FF333399"/>
      <rgbColor rgb="FF1F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N01 GT: xuất kho vs sell-out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Bai1_N01_GT!B4</c:f>
              <c:strCache>
                <c:ptCount val="1"/>
                <c:pt idx="0">
                  <c:v>Xuất kho</c:v>
                </c:pt>
              </c:strCache>
            </c:strRef>
          </c:tx>
          <c:spPr>
            <a:solidFill>
              <a:srgbClr val="d9720b"/>
            </a:solidFill>
            <a:ln w="28440">
              <a:solidFill>
                <a:srgbClr val="d972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Bai1_N01_GT!$A$5:$A$40</c:f>
              <c:strCache>
                <c:ptCount val="36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2024-03</c:v>
                </c:pt>
                <c:pt idx="6">
                  <c:v>2024-04</c:v>
                </c:pt>
                <c:pt idx="7">
                  <c:v>2024-05</c:v>
                </c:pt>
                <c:pt idx="8">
                  <c:v>2024-06</c:v>
                </c:pt>
                <c:pt idx="9">
                  <c:v>2024-07</c:v>
                </c:pt>
                <c:pt idx="10">
                  <c:v>2024-08</c:v>
                </c:pt>
                <c:pt idx="11">
                  <c:v>2024-09</c:v>
                </c:pt>
                <c:pt idx="12">
                  <c:v>2024-10</c:v>
                </c:pt>
                <c:pt idx="13">
                  <c:v>2024-11</c:v>
                </c:pt>
                <c:pt idx="14">
                  <c:v>2024-12</c:v>
                </c:pt>
                <c:pt idx="15">
                  <c:v>2025-01</c:v>
                </c:pt>
                <c:pt idx="16">
                  <c:v>2025-02</c:v>
                </c:pt>
                <c:pt idx="17">
                  <c:v>2025-03</c:v>
                </c:pt>
                <c:pt idx="18">
                  <c:v>2025-04</c:v>
                </c:pt>
                <c:pt idx="19">
                  <c:v>2025-05</c:v>
                </c:pt>
                <c:pt idx="20">
                  <c:v>2025-06</c:v>
                </c:pt>
                <c:pt idx="21">
                  <c:v>2025-07</c:v>
                </c:pt>
                <c:pt idx="22">
                  <c:v>2025-08</c:v>
                </c:pt>
                <c:pt idx="23">
                  <c:v>2025-09</c:v>
                </c:pt>
                <c:pt idx="24">
                  <c:v>2025-10</c:v>
                </c:pt>
                <c:pt idx="25">
                  <c:v>2025-11</c:v>
                </c:pt>
                <c:pt idx="26">
                  <c:v>2025-12</c:v>
                </c:pt>
                <c:pt idx="27">
                  <c:v>2026-01</c:v>
                </c:pt>
                <c:pt idx="28">
                  <c:v>2026-02</c:v>
                </c:pt>
                <c:pt idx="29">
                  <c:v>2026-03</c:v>
                </c:pt>
                <c:pt idx="30">
                  <c:v>2026-04</c:v>
                </c:pt>
                <c:pt idx="31">
                  <c:v>2026-05</c:v>
                </c:pt>
                <c:pt idx="32">
                  <c:v>2026-06</c:v>
                </c:pt>
                <c:pt idx="33">
                  <c:v>2026-07</c:v>
                </c:pt>
                <c:pt idx="34">
                  <c:v>2026-08</c:v>
                </c:pt>
                <c:pt idx="35">
                  <c:v>2026-09</c:v>
                </c:pt>
              </c:strCache>
            </c:strRef>
          </c:cat>
          <c:val>
            <c:numRef>
              <c:f>Bai1_N01_GT!$B$5:$B$40</c:f>
              <c:numCache>
                <c:formatCode>#,##0</c:formatCode>
                <c:ptCount val="36"/>
                <c:pt idx="0">
                  <c:v>49518</c:v>
                </c:pt>
                <c:pt idx="1">
                  <c:v>39293</c:v>
                </c:pt>
                <c:pt idx="2">
                  <c:v>40909</c:v>
                </c:pt>
                <c:pt idx="3">
                  <c:v>41127</c:v>
                </c:pt>
                <c:pt idx="4">
                  <c:v>40022</c:v>
                </c:pt>
                <c:pt idx="5">
                  <c:v>44624</c:v>
                </c:pt>
                <c:pt idx="6">
                  <c:v>34385</c:v>
                </c:pt>
                <c:pt idx="7">
                  <c:v>38657</c:v>
                </c:pt>
                <c:pt idx="8">
                  <c:v>45118</c:v>
                </c:pt>
                <c:pt idx="9">
                  <c:v>36311</c:v>
                </c:pt>
                <c:pt idx="10">
                  <c:v>53647</c:v>
                </c:pt>
                <c:pt idx="11">
                  <c:v>58884</c:v>
                </c:pt>
                <c:pt idx="12">
                  <c:v>44679</c:v>
                </c:pt>
                <c:pt idx="13">
                  <c:v>42703</c:v>
                </c:pt>
                <c:pt idx="14">
                  <c:v>50736</c:v>
                </c:pt>
                <c:pt idx="15">
                  <c:v>34671</c:v>
                </c:pt>
                <c:pt idx="16">
                  <c:v>28331</c:v>
                </c:pt>
                <c:pt idx="17">
                  <c:v>38059</c:v>
                </c:pt>
                <c:pt idx="18">
                  <c:v>27997</c:v>
                </c:pt>
                <c:pt idx="19">
                  <c:v>30646</c:v>
                </c:pt>
                <c:pt idx="20">
                  <c:v>40162</c:v>
                </c:pt>
                <c:pt idx="21">
                  <c:v>43600</c:v>
                </c:pt>
                <c:pt idx="22">
                  <c:v>47459</c:v>
                </c:pt>
                <c:pt idx="23">
                  <c:v>61977</c:v>
                </c:pt>
                <c:pt idx="24">
                  <c:v>44289</c:v>
                </c:pt>
                <c:pt idx="25">
                  <c:v>48066</c:v>
                </c:pt>
                <c:pt idx="26">
                  <c:v>47842</c:v>
                </c:pt>
                <c:pt idx="27">
                  <c:v>47369</c:v>
                </c:pt>
                <c:pt idx="28">
                  <c:v>47977</c:v>
                </c:pt>
                <c:pt idx="29">
                  <c:v>48786</c:v>
                </c:pt>
                <c:pt idx="30">
                  <c:v>39838</c:v>
                </c:pt>
                <c:pt idx="31">
                  <c:v>47562</c:v>
                </c:pt>
                <c:pt idx="32">
                  <c:v>51318</c:v>
                </c:pt>
                <c:pt idx="33">
                  <c:v>38545</c:v>
                </c:pt>
                <c:pt idx="34">
                  <c:v>41679</c:v>
                </c:pt>
                <c:pt idx="35">
                  <c:v>55051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Bai1_N01_GT!C4</c:f>
              <c:strCache>
                <c:ptCount val="1"/>
                <c:pt idx="0">
                  <c:v>Sell-out DMS</c:v>
                </c:pt>
              </c:strCache>
            </c:strRef>
          </c:tx>
          <c:spPr>
            <a:solidFill>
              <a:srgbClr val="1f2421"/>
            </a:solidFill>
            <a:ln w="28440">
              <a:solidFill>
                <a:srgbClr val="1f24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Bai1_N01_GT!$A$5:$A$40</c:f>
              <c:strCache>
                <c:ptCount val="36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2024-03</c:v>
                </c:pt>
                <c:pt idx="6">
                  <c:v>2024-04</c:v>
                </c:pt>
                <c:pt idx="7">
                  <c:v>2024-05</c:v>
                </c:pt>
                <c:pt idx="8">
                  <c:v>2024-06</c:v>
                </c:pt>
                <c:pt idx="9">
                  <c:v>2024-07</c:v>
                </c:pt>
                <c:pt idx="10">
                  <c:v>2024-08</c:v>
                </c:pt>
                <c:pt idx="11">
                  <c:v>2024-09</c:v>
                </c:pt>
                <c:pt idx="12">
                  <c:v>2024-10</c:v>
                </c:pt>
                <c:pt idx="13">
                  <c:v>2024-11</c:v>
                </c:pt>
                <c:pt idx="14">
                  <c:v>2024-12</c:v>
                </c:pt>
                <c:pt idx="15">
                  <c:v>2025-01</c:v>
                </c:pt>
                <c:pt idx="16">
                  <c:v>2025-02</c:v>
                </c:pt>
                <c:pt idx="17">
                  <c:v>2025-03</c:v>
                </c:pt>
                <c:pt idx="18">
                  <c:v>2025-04</c:v>
                </c:pt>
                <c:pt idx="19">
                  <c:v>2025-05</c:v>
                </c:pt>
                <c:pt idx="20">
                  <c:v>2025-06</c:v>
                </c:pt>
                <c:pt idx="21">
                  <c:v>2025-07</c:v>
                </c:pt>
                <c:pt idx="22">
                  <c:v>2025-08</c:v>
                </c:pt>
                <c:pt idx="23">
                  <c:v>2025-09</c:v>
                </c:pt>
                <c:pt idx="24">
                  <c:v>2025-10</c:v>
                </c:pt>
                <c:pt idx="25">
                  <c:v>2025-11</c:v>
                </c:pt>
                <c:pt idx="26">
                  <c:v>2025-12</c:v>
                </c:pt>
                <c:pt idx="27">
                  <c:v>2026-01</c:v>
                </c:pt>
                <c:pt idx="28">
                  <c:v>2026-02</c:v>
                </c:pt>
                <c:pt idx="29">
                  <c:v>2026-03</c:v>
                </c:pt>
                <c:pt idx="30">
                  <c:v>2026-04</c:v>
                </c:pt>
                <c:pt idx="31">
                  <c:v>2026-05</c:v>
                </c:pt>
                <c:pt idx="32">
                  <c:v>2026-06</c:v>
                </c:pt>
                <c:pt idx="33">
                  <c:v>2026-07</c:v>
                </c:pt>
                <c:pt idx="34">
                  <c:v>2026-08</c:v>
                </c:pt>
                <c:pt idx="35">
                  <c:v>2026-09</c:v>
                </c:pt>
              </c:strCache>
            </c:strRef>
          </c:cat>
          <c:val>
            <c:numRef>
              <c:f>Bai1_N01_GT!$C$5:$C$40</c:f>
              <c:numCache>
                <c:formatCode>#,##0</c:formatCode>
                <c:ptCount val="36"/>
                <c:pt idx="0">
                  <c:v>49311</c:v>
                </c:pt>
                <c:pt idx="1">
                  <c:v>39426</c:v>
                </c:pt>
                <c:pt idx="2">
                  <c:v>36704</c:v>
                </c:pt>
                <c:pt idx="3">
                  <c:v>46985</c:v>
                </c:pt>
                <c:pt idx="4">
                  <c:v>39620</c:v>
                </c:pt>
                <c:pt idx="5">
                  <c:v>39799</c:v>
                </c:pt>
                <c:pt idx="6">
                  <c:v>38450</c:v>
                </c:pt>
                <c:pt idx="7">
                  <c:v>38643</c:v>
                </c:pt>
                <c:pt idx="8">
                  <c:v>39981</c:v>
                </c:pt>
                <c:pt idx="9">
                  <c:v>39408</c:v>
                </c:pt>
                <c:pt idx="10">
                  <c:v>53236</c:v>
                </c:pt>
                <c:pt idx="11">
                  <c:v>51728</c:v>
                </c:pt>
                <c:pt idx="12">
                  <c:v>48357</c:v>
                </c:pt>
                <c:pt idx="13">
                  <c:v>42193</c:v>
                </c:pt>
                <c:pt idx="14">
                  <c:v>44589</c:v>
                </c:pt>
                <c:pt idx="15">
                  <c:v>48187</c:v>
                </c:pt>
                <c:pt idx="16">
                  <c:v>28586</c:v>
                </c:pt>
                <c:pt idx="17">
                  <c:v>33520</c:v>
                </c:pt>
                <c:pt idx="18">
                  <c:v>30987</c:v>
                </c:pt>
                <c:pt idx="19">
                  <c:v>29792</c:v>
                </c:pt>
                <c:pt idx="20">
                  <c:v>35593</c:v>
                </c:pt>
                <c:pt idx="21">
                  <c:v>48734</c:v>
                </c:pt>
                <c:pt idx="22">
                  <c:v>48046</c:v>
                </c:pt>
                <c:pt idx="23">
                  <c:v>54745</c:v>
                </c:pt>
                <c:pt idx="24">
                  <c:v>49986</c:v>
                </c:pt>
                <c:pt idx="25">
                  <c:v>46973</c:v>
                </c:pt>
                <c:pt idx="26">
                  <c:v>41917</c:v>
                </c:pt>
                <c:pt idx="27">
                  <c:v>53192</c:v>
                </c:pt>
                <c:pt idx="28">
                  <c:v>49180</c:v>
                </c:pt>
                <c:pt idx="29">
                  <c:v>43881</c:v>
                </c:pt>
                <c:pt idx="30">
                  <c:v>44237</c:v>
                </c:pt>
                <c:pt idx="31">
                  <c:v>45996</c:v>
                </c:pt>
                <c:pt idx="32">
                  <c:v>44430</c:v>
                </c:pt>
                <c:pt idx="33">
                  <c:v>42911</c:v>
                </c:pt>
                <c:pt idx="34">
                  <c:v>41455</c:v>
                </c:pt>
                <c:pt idx="35">
                  <c:v>48338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51871"/>
        <c:axId val="98047851"/>
      </c:lineChart>
      <c:catAx>
        <c:axId val="155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47851"/>
        <c:crosses val="autoZero"/>
        <c:auto val="1"/>
        <c:lblAlgn val="ctr"/>
        <c:lblOffset val="100"/>
        <c:noMultiLvlLbl val="0"/>
      </c:catAx>
      <c:valAx>
        <c:axId val="98047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18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1076040</xdr:colOff>
      <xdr:row>0</xdr:row>
      <xdr:rowOff>361440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81880" y="0"/>
          <a:ext cx="1076040" cy="361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12</xdr:row>
      <xdr:rowOff>0</xdr:rowOff>
    </xdr:from>
    <xdr:to>
      <xdr:col>14</xdr:col>
      <xdr:colOff>353520</xdr:colOff>
      <xdr:row>27</xdr:row>
      <xdr:rowOff>21960</xdr:rowOff>
    </xdr:to>
    <xdr:graphicFrame>
      <xdr:nvGraphicFramePr>
        <xdr:cNvPr id="1" name="Chart 1"/>
        <xdr:cNvGraphicFramePr/>
      </xdr:nvGraphicFramePr>
      <xdr:xfrm>
        <a:off x="7260120" y="2666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33.75" hidden="false" customHeight="true" outlineLevel="0" collapsed="false"/>
    <row r="3" customFormat="false" ht="19.7" hidden="false" customHeight="false" outlineLevel="0" collapsed="false">
      <c r="B3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23.85" hidden="false" customHeight="false" outlineLevel="0" collapsed="false">
      <c r="B7" s="4" t="s">
        <v>3</v>
      </c>
      <c r="C7" s="5" t="s">
        <v>4</v>
      </c>
    </row>
    <row r="8" customFormat="false" ht="23.85" hidden="false" customHeight="false" outlineLevel="0" collapsed="false">
      <c r="B8" s="4" t="s">
        <v>3</v>
      </c>
      <c r="C8" s="5" t="s">
        <v>5</v>
      </c>
    </row>
    <row r="9" customFormat="false" ht="23.85" hidden="false" customHeight="false" outlineLevel="0" collapsed="false">
      <c r="B9" s="4" t="s">
        <v>3</v>
      </c>
      <c r="C9" s="5" t="s">
        <v>6</v>
      </c>
    </row>
    <row r="10" customFormat="false" ht="23.85" hidden="false" customHeight="false" outlineLevel="0" collapsed="false">
      <c r="B10" s="4" t="s">
        <v>3</v>
      </c>
      <c r="C10" s="5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6" t="s">
        <v>9</v>
      </c>
      <c r="C13" s="6" t="s">
        <v>10</v>
      </c>
      <c r="D13" s="6" t="s">
        <v>11</v>
      </c>
    </row>
    <row r="14" customFormat="false" ht="30" hidden="false" customHeight="true" outlineLevel="0" collapsed="false">
      <c r="B14" s="7" t="s">
        <v>12</v>
      </c>
      <c r="C14" s="8" t="s">
        <v>13</v>
      </c>
      <c r="D14" s="9" t="s">
        <v>14</v>
      </c>
    </row>
    <row r="15" customFormat="false" ht="30" hidden="false" customHeight="true" outlineLevel="0" collapsed="false">
      <c r="B15" s="7" t="s">
        <v>15</v>
      </c>
      <c r="C15" s="8" t="s">
        <v>16</v>
      </c>
      <c r="D15" s="9" t="s">
        <v>17</v>
      </c>
    </row>
    <row r="16" customFormat="false" ht="30" hidden="false" customHeight="true" outlineLevel="0" collapsed="false">
      <c r="B16" s="7" t="s">
        <v>18</v>
      </c>
      <c r="C16" s="8" t="s">
        <v>19</v>
      </c>
      <c r="D16" s="9" t="s">
        <v>17</v>
      </c>
    </row>
    <row r="17" customFormat="false" ht="15" hidden="false" customHeight="true" outlineLevel="0" collapsed="false">
      <c r="B17" s="7" t="s">
        <v>20</v>
      </c>
      <c r="C17" s="8" t="s">
        <v>21</v>
      </c>
      <c r="D17" s="9" t="s">
        <v>22</v>
      </c>
    </row>
    <row r="18" customFormat="false" ht="30" hidden="false" customHeight="true" outlineLevel="0" collapsed="false">
      <c r="B18" s="7" t="s">
        <v>23</v>
      </c>
      <c r="C18" s="8" t="s">
        <v>24</v>
      </c>
      <c r="D18" s="9" t="s">
        <v>17</v>
      </c>
    </row>
    <row r="19" customFormat="false" ht="30" hidden="false" customHeight="true" outlineLevel="0" collapsed="false">
      <c r="B19" s="7" t="s">
        <v>25</v>
      </c>
      <c r="C19" s="8" t="s">
        <v>26</v>
      </c>
      <c r="D19" s="9" t="s">
        <v>27</v>
      </c>
    </row>
    <row r="21" customFormat="false" ht="15" hidden="false" customHeight="false" outlineLevel="0" collapsed="false">
      <c r="B21" s="3" t="s">
        <v>28</v>
      </c>
    </row>
    <row r="22" customFormat="false" ht="30" hidden="false" customHeight="true" outlineLevel="0" collapsed="false">
      <c r="C22" s="5" t="s">
        <v>29</v>
      </c>
    </row>
    <row r="24" customFormat="false" ht="15" hidden="false" customHeight="false" outlineLevel="0" collapsed="false">
      <c r="B24" s="3" t="s">
        <v>30</v>
      </c>
    </row>
    <row r="25" customFormat="false" ht="15" hidden="false" customHeight="false" outlineLevel="0" collapsed="false">
      <c r="B25" s="10" t="s">
        <v>31</v>
      </c>
      <c r="C25" s="4" t="s">
        <v>32</v>
      </c>
    </row>
    <row r="26" customFormat="false" ht="15" hidden="false" customHeight="false" outlineLevel="0" collapsed="false">
      <c r="B26" s="11" t="s">
        <v>31</v>
      </c>
      <c r="C26" s="4" t="s">
        <v>33</v>
      </c>
    </row>
    <row r="27" customFormat="false" ht="15" hidden="false" customHeight="false" outlineLevel="0" collapsed="false">
      <c r="B27" s="12" t="s">
        <v>31</v>
      </c>
      <c r="C27" s="4" t="s">
        <v>34</v>
      </c>
    </row>
    <row r="28" customFormat="false" ht="15" hidden="false" customHeight="false" outlineLevel="0" collapsed="false">
      <c r="B28" s="13" t="s">
        <v>31</v>
      </c>
      <c r="C28" s="4" t="s">
        <v>35</v>
      </c>
    </row>
    <row r="30" customFormat="false" ht="15" hidden="false" customHeight="false" outlineLevel="0" collapsed="false">
      <c r="B30" s="3" t="s">
        <v>36</v>
      </c>
    </row>
    <row r="31" customFormat="false" ht="15" hidden="false" customHeight="true" outlineLevel="0" collapsed="false">
      <c r="B31" s="4" t="s">
        <v>3</v>
      </c>
      <c r="C31" s="5" t="s">
        <v>37</v>
      </c>
    </row>
    <row r="32" customFormat="false" ht="30" hidden="false" customHeight="true" outlineLevel="0" collapsed="false">
      <c r="B32" s="4" t="s">
        <v>3</v>
      </c>
      <c r="C32" s="5" t="s">
        <v>38</v>
      </c>
    </row>
    <row r="33" customFormat="false" ht="30" hidden="false" customHeight="true" outlineLevel="0" collapsed="false">
      <c r="B33" s="4" t="s">
        <v>3</v>
      </c>
      <c r="C33" s="5" t="s">
        <v>39</v>
      </c>
    </row>
    <row r="35" customFormat="false" ht="15" hidden="false" customHeight="false" outlineLevel="0" collapsed="false">
      <c r="B35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4"/>
    <col collapsed="false" customWidth="true" hidden="false" outlineLevel="0" max="9" min="9" style="0" width="30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30" hidden="false" customHeight="true" outlineLevel="0" collapsed="false">
      <c r="A4" s="6" t="s">
        <v>43</v>
      </c>
      <c r="B4" s="6" t="s">
        <v>44</v>
      </c>
      <c r="C4" s="6" t="s">
        <v>45</v>
      </c>
      <c r="D4" s="6" t="s">
        <v>46</v>
      </c>
      <c r="E4" s="6" t="s">
        <v>47</v>
      </c>
      <c r="F4" s="6" t="s">
        <v>48</v>
      </c>
      <c r="G4" s="6" t="s">
        <v>36</v>
      </c>
      <c r="I4" s="14" t="s">
        <v>49</v>
      </c>
      <c r="J4" s="14" t="s">
        <v>50</v>
      </c>
    </row>
    <row r="5" customFormat="false" ht="15" hidden="false" customHeight="false" outlineLevel="0" collapsed="false">
      <c r="A5" s="15" t="s">
        <v>51</v>
      </c>
      <c r="B5" s="16" t="n">
        <v>49518</v>
      </c>
      <c r="C5" s="16" t="n">
        <v>49311</v>
      </c>
      <c r="D5" s="17" t="n">
        <v>0</v>
      </c>
      <c r="E5" s="18"/>
      <c r="F5" s="19"/>
      <c r="G5" s="20"/>
      <c r="I5" s="15" t="s">
        <v>52</v>
      </c>
      <c r="J5" s="21"/>
    </row>
    <row r="6" customFormat="false" ht="15" hidden="false" customHeight="false" outlineLevel="0" collapsed="false">
      <c r="A6" s="15" t="s">
        <v>53</v>
      </c>
      <c r="B6" s="16" t="n">
        <v>39293</v>
      </c>
      <c r="C6" s="16" t="n">
        <v>39426</v>
      </c>
      <c r="D6" s="17" t="n">
        <v>0</v>
      </c>
      <c r="E6" s="18"/>
      <c r="F6" s="19"/>
      <c r="G6" s="20"/>
      <c r="I6" s="15" t="s">
        <v>54</v>
      </c>
      <c r="J6" s="21"/>
    </row>
    <row r="7" customFormat="false" ht="15" hidden="false" customHeight="false" outlineLevel="0" collapsed="false">
      <c r="A7" s="15" t="s">
        <v>55</v>
      </c>
      <c r="B7" s="16" t="n">
        <v>40909</v>
      </c>
      <c r="C7" s="16" t="n">
        <v>36704</v>
      </c>
      <c r="D7" s="17" t="n">
        <v>0</v>
      </c>
      <c r="E7" s="18"/>
      <c r="F7" s="19"/>
      <c r="G7" s="20" t="s">
        <v>56</v>
      </c>
      <c r="I7" s="15" t="s">
        <v>57</v>
      </c>
      <c r="J7" s="18"/>
    </row>
    <row r="8" customFormat="false" ht="15" hidden="false" customHeight="false" outlineLevel="0" collapsed="false">
      <c r="A8" s="15" t="s">
        <v>58</v>
      </c>
      <c r="B8" s="16" t="n">
        <v>41127</v>
      </c>
      <c r="C8" s="16" t="n">
        <v>46985</v>
      </c>
      <c r="D8" s="17" t="n">
        <v>0</v>
      </c>
      <c r="E8" s="18"/>
      <c r="F8" s="19"/>
      <c r="G8" s="20"/>
      <c r="I8" s="15" t="s">
        <v>59</v>
      </c>
      <c r="J8" s="19"/>
    </row>
    <row r="9" customFormat="false" ht="15" hidden="false" customHeight="false" outlineLevel="0" collapsed="false">
      <c r="A9" s="15" t="s">
        <v>60</v>
      </c>
      <c r="B9" s="16" t="n">
        <v>40022</v>
      </c>
      <c r="C9" s="16" t="n">
        <v>39620</v>
      </c>
      <c r="D9" s="17" t="n">
        <v>0</v>
      </c>
      <c r="E9" s="18"/>
      <c r="F9" s="19"/>
      <c r="G9" s="20"/>
      <c r="I9" s="15" t="s">
        <v>61</v>
      </c>
      <c r="J9" s="19"/>
    </row>
    <row r="10" customFormat="false" ht="15" hidden="false" customHeight="false" outlineLevel="0" collapsed="false">
      <c r="A10" s="15" t="s">
        <v>62</v>
      </c>
      <c r="B10" s="16" t="n">
        <v>44624</v>
      </c>
      <c r="C10" s="16" t="n">
        <v>39799</v>
      </c>
      <c r="D10" s="17" t="n">
        <v>0</v>
      </c>
      <c r="E10" s="18"/>
      <c r="F10" s="19"/>
      <c r="G10" s="20" t="s">
        <v>56</v>
      </c>
    </row>
    <row r="11" customFormat="false" ht="15" hidden="false" customHeight="false" outlineLevel="0" collapsed="false">
      <c r="A11" s="15" t="s">
        <v>63</v>
      </c>
      <c r="B11" s="16" t="n">
        <v>34385</v>
      </c>
      <c r="C11" s="16" t="n">
        <v>38450</v>
      </c>
      <c r="D11" s="17" t="n">
        <v>0</v>
      </c>
      <c r="E11" s="18"/>
      <c r="F11" s="19"/>
      <c r="G11" s="20"/>
      <c r="I11" s="2" t="s">
        <v>64</v>
      </c>
    </row>
    <row r="12" customFormat="false" ht="15" hidden="false" customHeight="false" outlineLevel="0" collapsed="false">
      <c r="A12" s="15" t="s">
        <v>65</v>
      </c>
      <c r="B12" s="16" t="n">
        <v>38657</v>
      </c>
      <c r="C12" s="16" t="n">
        <v>38643</v>
      </c>
      <c r="D12" s="17" t="n">
        <v>0</v>
      </c>
      <c r="E12" s="18"/>
      <c r="F12" s="19"/>
      <c r="G12" s="20"/>
    </row>
    <row r="13" customFormat="false" ht="15" hidden="false" customHeight="false" outlineLevel="0" collapsed="false">
      <c r="A13" s="15" t="s">
        <v>66</v>
      </c>
      <c r="B13" s="16" t="n">
        <v>45118</v>
      </c>
      <c r="C13" s="16" t="n">
        <v>39981</v>
      </c>
      <c r="D13" s="17" t="n">
        <v>0</v>
      </c>
      <c r="E13" s="18"/>
      <c r="F13" s="19"/>
      <c r="G13" s="20" t="s">
        <v>56</v>
      </c>
    </row>
    <row r="14" customFormat="false" ht="15" hidden="false" customHeight="false" outlineLevel="0" collapsed="false">
      <c r="A14" s="15" t="s">
        <v>67</v>
      </c>
      <c r="B14" s="16" t="n">
        <v>36311</v>
      </c>
      <c r="C14" s="16" t="n">
        <v>39408</v>
      </c>
      <c r="D14" s="17" t="n">
        <v>0</v>
      </c>
      <c r="E14" s="18"/>
      <c r="F14" s="19"/>
      <c r="G14" s="20"/>
    </row>
    <row r="15" customFormat="false" ht="15" hidden="false" customHeight="false" outlineLevel="0" collapsed="false">
      <c r="A15" s="15" t="s">
        <v>68</v>
      </c>
      <c r="B15" s="16" t="n">
        <v>53647</v>
      </c>
      <c r="C15" s="16" t="n">
        <v>53236</v>
      </c>
      <c r="D15" s="17" t="n">
        <v>0</v>
      </c>
      <c r="E15" s="18"/>
      <c r="F15" s="19"/>
      <c r="G15" s="20"/>
    </row>
    <row r="16" customFormat="false" ht="15" hidden="false" customHeight="false" outlineLevel="0" collapsed="false">
      <c r="A16" s="15" t="s">
        <v>69</v>
      </c>
      <c r="B16" s="16" t="n">
        <v>58884</v>
      </c>
      <c r="C16" s="16" t="n">
        <v>51728</v>
      </c>
      <c r="D16" s="17" t="n">
        <v>0</v>
      </c>
      <c r="E16" s="18"/>
      <c r="F16" s="19"/>
      <c r="G16" s="20" t="s">
        <v>56</v>
      </c>
    </row>
    <row r="17" customFormat="false" ht="15" hidden="false" customHeight="false" outlineLevel="0" collapsed="false">
      <c r="A17" s="15" t="s">
        <v>70</v>
      </c>
      <c r="B17" s="16" t="n">
        <v>44679</v>
      </c>
      <c r="C17" s="16" t="n">
        <v>48357</v>
      </c>
      <c r="D17" s="17" t="n">
        <v>0</v>
      </c>
      <c r="E17" s="18"/>
      <c r="F17" s="19"/>
      <c r="G17" s="20"/>
    </row>
    <row r="18" customFormat="false" ht="15" hidden="false" customHeight="false" outlineLevel="0" collapsed="false">
      <c r="A18" s="15" t="s">
        <v>71</v>
      </c>
      <c r="B18" s="16" t="n">
        <v>42703</v>
      </c>
      <c r="C18" s="16" t="n">
        <v>42193</v>
      </c>
      <c r="D18" s="17" t="n">
        <v>0</v>
      </c>
      <c r="E18" s="18"/>
      <c r="F18" s="19"/>
      <c r="G18" s="20"/>
    </row>
    <row r="19" customFormat="false" ht="15" hidden="false" customHeight="false" outlineLevel="0" collapsed="false">
      <c r="A19" s="15" t="s">
        <v>72</v>
      </c>
      <c r="B19" s="16" t="n">
        <v>50736</v>
      </c>
      <c r="C19" s="16" t="n">
        <v>44589</v>
      </c>
      <c r="D19" s="17" t="n">
        <v>0</v>
      </c>
      <c r="E19" s="18"/>
      <c r="F19" s="19"/>
      <c r="G19" s="20" t="s">
        <v>56</v>
      </c>
    </row>
    <row r="20" customFormat="false" ht="15" hidden="false" customHeight="false" outlineLevel="0" collapsed="false">
      <c r="A20" s="15" t="s">
        <v>73</v>
      </c>
      <c r="B20" s="16" t="n">
        <v>34671</v>
      </c>
      <c r="C20" s="16" t="n">
        <v>48187</v>
      </c>
      <c r="D20" s="17" t="n">
        <v>6</v>
      </c>
      <c r="E20" s="18"/>
      <c r="F20" s="19"/>
      <c r="G20" s="20" t="s">
        <v>74</v>
      </c>
    </row>
    <row r="21" customFormat="false" ht="15" hidden="false" customHeight="false" outlineLevel="0" collapsed="false">
      <c r="A21" s="15" t="s">
        <v>75</v>
      </c>
      <c r="B21" s="16" t="n">
        <v>28331</v>
      </c>
      <c r="C21" s="16" t="n">
        <v>28586</v>
      </c>
      <c r="D21" s="17" t="n">
        <v>0</v>
      </c>
      <c r="E21" s="18"/>
      <c r="F21" s="19"/>
      <c r="G21" s="20"/>
    </row>
    <row r="22" customFormat="false" ht="15" hidden="false" customHeight="false" outlineLevel="0" collapsed="false">
      <c r="A22" s="15" t="s">
        <v>76</v>
      </c>
      <c r="B22" s="16" t="n">
        <v>38059</v>
      </c>
      <c r="C22" s="16" t="n">
        <v>33520</v>
      </c>
      <c r="D22" s="17" t="n">
        <v>0</v>
      </c>
      <c r="E22" s="18"/>
      <c r="F22" s="19"/>
      <c r="G22" s="20" t="s">
        <v>56</v>
      </c>
    </row>
    <row r="23" customFormat="false" ht="15" hidden="false" customHeight="false" outlineLevel="0" collapsed="false">
      <c r="A23" s="15" t="s">
        <v>77</v>
      </c>
      <c r="B23" s="16" t="n">
        <v>27997</v>
      </c>
      <c r="C23" s="16" t="n">
        <v>30987</v>
      </c>
      <c r="D23" s="17" t="n">
        <v>0</v>
      </c>
      <c r="E23" s="18"/>
      <c r="F23" s="19"/>
      <c r="G23" s="20"/>
    </row>
    <row r="24" customFormat="false" ht="15" hidden="false" customHeight="false" outlineLevel="0" collapsed="false">
      <c r="A24" s="15" t="s">
        <v>78</v>
      </c>
      <c r="B24" s="16" t="n">
        <v>30646</v>
      </c>
      <c r="C24" s="16" t="n">
        <v>29792</v>
      </c>
      <c r="D24" s="17" t="n">
        <v>0</v>
      </c>
      <c r="E24" s="18"/>
      <c r="F24" s="19"/>
      <c r="G24" s="20"/>
    </row>
    <row r="25" customFormat="false" ht="15" hidden="false" customHeight="false" outlineLevel="0" collapsed="false">
      <c r="A25" s="15" t="s">
        <v>79</v>
      </c>
      <c r="B25" s="16" t="n">
        <v>40162</v>
      </c>
      <c r="C25" s="16" t="n">
        <v>35593</v>
      </c>
      <c r="D25" s="17" t="n">
        <v>0</v>
      </c>
      <c r="E25" s="18"/>
      <c r="F25" s="19"/>
      <c r="G25" s="20" t="s">
        <v>56</v>
      </c>
    </row>
    <row r="26" customFormat="false" ht="15" hidden="false" customHeight="false" outlineLevel="0" collapsed="false">
      <c r="A26" s="15" t="s">
        <v>80</v>
      </c>
      <c r="B26" s="16" t="n">
        <v>43600</v>
      </c>
      <c r="C26" s="16" t="n">
        <v>48734</v>
      </c>
      <c r="D26" s="17" t="n">
        <v>0</v>
      </c>
      <c r="E26" s="18"/>
      <c r="F26" s="19"/>
      <c r="G26" s="20"/>
    </row>
    <row r="27" customFormat="false" ht="15" hidden="false" customHeight="false" outlineLevel="0" collapsed="false">
      <c r="A27" s="15" t="s">
        <v>81</v>
      </c>
      <c r="B27" s="16" t="n">
        <v>47459</v>
      </c>
      <c r="C27" s="16" t="n">
        <v>48046</v>
      </c>
      <c r="D27" s="17" t="n">
        <v>0</v>
      </c>
      <c r="E27" s="18"/>
      <c r="F27" s="19"/>
      <c r="G27" s="20"/>
    </row>
    <row r="28" customFormat="false" ht="15" hidden="false" customHeight="false" outlineLevel="0" collapsed="false">
      <c r="A28" s="15" t="s">
        <v>82</v>
      </c>
      <c r="B28" s="16" t="n">
        <v>61977</v>
      </c>
      <c r="C28" s="16" t="n">
        <v>54745</v>
      </c>
      <c r="D28" s="17" t="n">
        <v>0</v>
      </c>
      <c r="E28" s="18"/>
      <c r="F28" s="19"/>
      <c r="G28" s="20" t="s">
        <v>56</v>
      </c>
    </row>
    <row r="29" customFormat="false" ht="15" hidden="false" customHeight="false" outlineLevel="0" collapsed="false">
      <c r="A29" s="15" t="s">
        <v>83</v>
      </c>
      <c r="B29" s="16" t="n">
        <v>44289</v>
      </c>
      <c r="C29" s="16" t="n">
        <v>49986</v>
      </c>
      <c r="D29" s="17" t="n">
        <v>0</v>
      </c>
      <c r="E29" s="18"/>
      <c r="F29" s="19"/>
      <c r="G29" s="20"/>
    </row>
    <row r="30" customFormat="false" ht="15" hidden="false" customHeight="false" outlineLevel="0" collapsed="false">
      <c r="A30" s="15" t="s">
        <v>84</v>
      </c>
      <c r="B30" s="16" t="n">
        <v>48066</v>
      </c>
      <c r="C30" s="16" t="n">
        <v>46973</v>
      </c>
      <c r="D30" s="17" t="n">
        <v>0</v>
      </c>
      <c r="E30" s="18"/>
      <c r="F30" s="19"/>
      <c r="G30" s="20"/>
    </row>
    <row r="31" customFormat="false" ht="15" hidden="false" customHeight="false" outlineLevel="0" collapsed="false">
      <c r="A31" s="15" t="s">
        <v>85</v>
      </c>
      <c r="B31" s="16" t="n">
        <v>47842</v>
      </c>
      <c r="C31" s="16" t="n">
        <v>41917</v>
      </c>
      <c r="D31" s="17" t="n">
        <v>0</v>
      </c>
      <c r="E31" s="18"/>
      <c r="F31" s="19"/>
      <c r="G31" s="20" t="s">
        <v>56</v>
      </c>
    </row>
    <row r="32" customFormat="false" ht="15" hidden="false" customHeight="false" outlineLevel="0" collapsed="false">
      <c r="A32" s="15" t="s">
        <v>86</v>
      </c>
      <c r="B32" s="16" t="n">
        <v>47369</v>
      </c>
      <c r="C32" s="16" t="n">
        <v>53192</v>
      </c>
      <c r="D32" s="17" t="n">
        <v>0</v>
      </c>
      <c r="E32" s="18"/>
      <c r="F32" s="19"/>
      <c r="G32" s="20"/>
    </row>
    <row r="33" customFormat="false" ht="15" hidden="false" customHeight="false" outlineLevel="0" collapsed="false">
      <c r="A33" s="15" t="s">
        <v>87</v>
      </c>
      <c r="B33" s="16" t="n">
        <v>47977</v>
      </c>
      <c r="C33" s="16" t="n">
        <v>49180</v>
      </c>
      <c r="D33" s="17" t="n">
        <v>0</v>
      </c>
      <c r="E33" s="18"/>
      <c r="F33" s="19"/>
      <c r="G33" s="20"/>
    </row>
    <row r="34" customFormat="false" ht="15" hidden="false" customHeight="false" outlineLevel="0" collapsed="false">
      <c r="A34" s="15" t="s">
        <v>88</v>
      </c>
      <c r="B34" s="16" t="n">
        <v>48786</v>
      </c>
      <c r="C34" s="16" t="n">
        <v>43881</v>
      </c>
      <c r="D34" s="17" t="n">
        <v>0</v>
      </c>
      <c r="E34" s="18"/>
      <c r="F34" s="19"/>
      <c r="G34" s="20" t="s">
        <v>56</v>
      </c>
    </row>
    <row r="35" customFormat="false" ht="15" hidden="false" customHeight="false" outlineLevel="0" collapsed="false">
      <c r="A35" s="15" t="s">
        <v>89</v>
      </c>
      <c r="B35" s="16" t="n">
        <v>39838</v>
      </c>
      <c r="C35" s="16" t="n">
        <v>44237</v>
      </c>
      <c r="D35" s="17" t="n">
        <v>0</v>
      </c>
      <c r="E35" s="18"/>
      <c r="F35" s="19"/>
      <c r="G35" s="20"/>
    </row>
    <row r="36" customFormat="false" ht="15" hidden="false" customHeight="false" outlineLevel="0" collapsed="false">
      <c r="A36" s="15" t="s">
        <v>90</v>
      </c>
      <c r="B36" s="16" t="n">
        <v>47562</v>
      </c>
      <c r="C36" s="16" t="n">
        <v>45996</v>
      </c>
      <c r="D36" s="17" t="n">
        <v>0</v>
      </c>
      <c r="E36" s="18"/>
      <c r="F36" s="19"/>
      <c r="G36" s="20"/>
    </row>
    <row r="37" customFormat="false" ht="15" hidden="false" customHeight="false" outlineLevel="0" collapsed="false">
      <c r="A37" s="15" t="s">
        <v>91</v>
      </c>
      <c r="B37" s="16" t="n">
        <v>51318</v>
      </c>
      <c r="C37" s="16" t="n">
        <v>44430</v>
      </c>
      <c r="D37" s="17" t="n">
        <v>0</v>
      </c>
      <c r="E37" s="18"/>
      <c r="F37" s="19"/>
      <c r="G37" s="20" t="s">
        <v>56</v>
      </c>
    </row>
    <row r="38" customFormat="false" ht="15" hidden="false" customHeight="false" outlineLevel="0" collapsed="false">
      <c r="A38" s="15" t="s">
        <v>92</v>
      </c>
      <c r="B38" s="16" t="n">
        <v>38545</v>
      </c>
      <c r="C38" s="16" t="n">
        <v>42911</v>
      </c>
      <c r="D38" s="17" t="n">
        <v>0</v>
      </c>
      <c r="E38" s="18"/>
      <c r="F38" s="19"/>
      <c r="G38" s="20"/>
    </row>
    <row r="39" customFormat="false" ht="15" hidden="false" customHeight="false" outlineLevel="0" collapsed="false">
      <c r="A39" s="15" t="s">
        <v>93</v>
      </c>
      <c r="B39" s="16" t="n">
        <v>41679</v>
      </c>
      <c r="C39" s="16" t="n">
        <v>41455</v>
      </c>
      <c r="D39" s="17" t="n">
        <v>0</v>
      </c>
      <c r="E39" s="18"/>
      <c r="F39" s="19"/>
      <c r="G39" s="20"/>
    </row>
    <row r="40" customFormat="false" ht="15" hidden="false" customHeight="false" outlineLevel="0" collapsed="false">
      <c r="A40" s="15" t="s">
        <v>94</v>
      </c>
      <c r="B40" s="16" t="n">
        <v>55051</v>
      </c>
      <c r="C40" s="16" t="n">
        <v>48338</v>
      </c>
      <c r="D40" s="17" t="n">
        <v>0</v>
      </c>
      <c r="E40" s="18"/>
      <c r="F40" s="19"/>
      <c r="G40" s="2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2"/>
    <col collapsed="false" customWidth="true" hidden="false" outlineLevel="0" max="6" min="6" style="0" width="14"/>
    <col collapsed="false" customWidth="true" hidden="false" outlineLevel="0" max="7" min="7" style="0" width="4"/>
    <col collapsed="false" customWidth="true" hidden="false" outlineLevel="0" max="8" min="8" style="0" width="10"/>
    <col collapsed="false" customWidth="true" hidden="false" outlineLevel="0" max="12" min="9" style="0" width="12"/>
  </cols>
  <sheetData>
    <row r="1" customFormat="false" ht="30" hidden="false" customHeight="tru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30" hidden="false" customHeight="true" outlineLevel="0" collapsed="false">
      <c r="A4" s="6" t="s">
        <v>43</v>
      </c>
      <c r="B4" s="6" t="s">
        <v>44</v>
      </c>
      <c r="C4" s="6" t="s">
        <v>46</v>
      </c>
      <c r="D4" s="6" t="s">
        <v>97</v>
      </c>
      <c r="E4" s="6" t="s">
        <v>98</v>
      </c>
      <c r="F4" s="6" t="s">
        <v>99</v>
      </c>
      <c r="H4" s="6" t="s">
        <v>43</v>
      </c>
      <c r="I4" s="6" t="s">
        <v>100</v>
      </c>
      <c r="J4" s="6" t="s">
        <v>44</v>
      </c>
      <c r="K4" s="6" t="s">
        <v>101</v>
      </c>
      <c r="L4" s="6" t="s">
        <v>48</v>
      </c>
    </row>
    <row r="5" customFormat="false" ht="15" hidden="false" customHeight="false" outlineLevel="0" collapsed="false">
      <c r="A5" s="15" t="s">
        <v>68</v>
      </c>
      <c r="B5" s="16" t="n">
        <v>5995</v>
      </c>
      <c r="C5" s="15" t="n">
        <v>0</v>
      </c>
      <c r="D5" s="15" t="n">
        <v>31</v>
      </c>
      <c r="E5" s="19"/>
      <c r="F5" s="19"/>
      <c r="H5" s="15" t="s">
        <v>75</v>
      </c>
      <c r="I5" s="16" t="n">
        <v>6049</v>
      </c>
      <c r="J5" s="16" t="n">
        <v>6049</v>
      </c>
      <c r="K5" s="18"/>
      <c r="L5" s="19"/>
    </row>
    <row r="6" customFormat="false" ht="15" hidden="false" customHeight="false" outlineLevel="0" collapsed="false">
      <c r="A6" s="15" t="s">
        <v>69</v>
      </c>
      <c r="B6" s="16" t="n">
        <v>7705</v>
      </c>
      <c r="C6" s="15" t="n">
        <v>0</v>
      </c>
      <c r="D6" s="15" t="n">
        <v>30</v>
      </c>
      <c r="E6" s="19"/>
      <c r="F6" s="19"/>
      <c r="H6" s="15" t="s">
        <v>76</v>
      </c>
      <c r="I6" s="16" t="n">
        <v>6374</v>
      </c>
      <c r="J6" s="16" t="n">
        <v>6374</v>
      </c>
      <c r="K6" s="18"/>
      <c r="L6" s="19"/>
    </row>
    <row r="7" customFormat="false" ht="15" hidden="false" customHeight="false" outlineLevel="0" collapsed="false">
      <c r="A7" s="15" t="s">
        <v>70</v>
      </c>
      <c r="B7" s="16" t="n">
        <v>6594</v>
      </c>
      <c r="C7" s="15" t="n">
        <v>0</v>
      </c>
      <c r="D7" s="15" t="n">
        <v>31</v>
      </c>
      <c r="E7" s="19"/>
      <c r="F7" s="19"/>
      <c r="H7" s="15" t="s">
        <v>77</v>
      </c>
      <c r="I7" s="16" t="n">
        <v>5996</v>
      </c>
      <c r="J7" s="16" t="n">
        <v>5996</v>
      </c>
      <c r="K7" s="18"/>
      <c r="L7" s="19"/>
    </row>
    <row r="8" customFormat="false" ht="15" hidden="false" customHeight="false" outlineLevel="0" collapsed="false">
      <c r="A8" s="15" t="s">
        <v>71</v>
      </c>
      <c r="B8" s="16" t="n">
        <v>3649</v>
      </c>
      <c r="C8" s="15" t="n">
        <v>12</v>
      </c>
      <c r="D8" s="15" t="n">
        <v>30</v>
      </c>
      <c r="E8" s="19"/>
      <c r="F8" s="19"/>
      <c r="H8" s="15" t="s">
        <v>78</v>
      </c>
      <c r="I8" s="16" t="n">
        <v>7677</v>
      </c>
      <c r="J8" s="16" t="n">
        <v>5448</v>
      </c>
      <c r="K8" s="18"/>
      <c r="L8" s="19"/>
    </row>
    <row r="9" customFormat="false" ht="15" hidden="false" customHeight="false" outlineLevel="0" collapsed="false">
      <c r="A9" s="15" t="s">
        <v>72</v>
      </c>
      <c r="B9" s="16" t="n">
        <v>7226</v>
      </c>
      <c r="C9" s="15" t="n">
        <v>0</v>
      </c>
      <c r="D9" s="15" t="n">
        <v>31</v>
      </c>
      <c r="E9" s="19"/>
      <c r="F9" s="19"/>
      <c r="H9" s="15" t="s">
        <v>79</v>
      </c>
      <c r="I9" s="16" t="n">
        <v>9134</v>
      </c>
      <c r="J9" s="16" t="n">
        <v>9134</v>
      </c>
      <c r="K9" s="18"/>
      <c r="L9" s="19"/>
    </row>
    <row r="10" customFormat="false" ht="15" hidden="false" customHeight="false" outlineLevel="0" collapsed="false">
      <c r="A10" s="15" t="s">
        <v>73</v>
      </c>
      <c r="B10" s="16" t="n">
        <v>8817</v>
      </c>
      <c r="C10" s="15" t="n">
        <v>0</v>
      </c>
      <c r="D10" s="15" t="n">
        <v>31</v>
      </c>
      <c r="E10" s="19"/>
      <c r="F10" s="19"/>
      <c r="H10" s="15" t="s">
        <v>80</v>
      </c>
      <c r="I10" s="16" t="n">
        <v>7680</v>
      </c>
      <c r="J10" s="16" t="n">
        <v>7680</v>
      </c>
      <c r="K10" s="18"/>
      <c r="L10" s="19"/>
    </row>
    <row r="11" customFormat="false" ht="15" hidden="false" customHeight="false" outlineLevel="0" collapsed="false">
      <c r="A11" s="15" t="s">
        <v>75</v>
      </c>
      <c r="B11" s="16" t="n">
        <v>4956</v>
      </c>
      <c r="C11" s="15" t="n">
        <v>0</v>
      </c>
      <c r="D11" s="15" t="n">
        <v>28</v>
      </c>
      <c r="E11" s="19"/>
      <c r="F11" s="19"/>
      <c r="H11" s="15" t="s">
        <v>81</v>
      </c>
      <c r="I11" s="16" t="n">
        <v>7374</v>
      </c>
      <c r="J11" s="16" t="n">
        <v>7374</v>
      </c>
      <c r="K11" s="18"/>
      <c r="L11" s="19"/>
    </row>
    <row r="13" customFormat="false" ht="15" hidden="false" customHeight="false" outlineLevel="0" collapsed="false">
      <c r="A13" s="2" t="s">
        <v>102</v>
      </c>
      <c r="H13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30"/>
    <col collapsed="false" customWidth="true" hidden="false" outlineLevel="0" max="6" min="6" style="0" width="4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30" hidden="false" customHeight="true" outlineLevel="0" collapsed="false">
      <c r="A4" s="6" t="s">
        <v>43</v>
      </c>
      <c r="B4" s="6" t="s">
        <v>44</v>
      </c>
      <c r="C4" s="6" t="s">
        <v>106</v>
      </c>
      <c r="D4" s="6" t="s">
        <v>107</v>
      </c>
      <c r="E4" s="6" t="s">
        <v>108</v>
      </c>
      <c r="G4" s="14" t="s">
        <v>109</v>
      </c>
      <c r="H4" s="14" t="s">
        <v>50</v>
      </c>
    </row>
    <row r="5" customFormat="false" ht="15" hidden="false" customHeight="false" outlineLevel="0" collapsed="false">
      <c r="A5" s="15" t="s">
        <v>51</v>
      </c>
      <c r="B5" s="16" t="n">
        <v>4104</v>
      </c>
      <c r="C5" s="10"/>
      <c r="D5" s="19"/>
      <c r="E5" s="20"/>
      <c r="G5" s="15" t="s">
        <v>110</v>
      </c>
      <c r="H5" s="11" t="n">
        <v>24</v>
      </c>
    </row>
    <row r="6" customFormat="false" ht="15" hidden="false" customHeight="false" outlineLevel="0" collapsed="false">
      <c r="A6" s="15" t="s">
        <v>53</v>
      </c>
      <c r="B6" s="16" t="n">
        <v>4659</v>
      </c>
      <c r="C6" s="10"/>
      <c r="D6" s="19"/>
      <c r="E6" s="20"/>
      <c r="G6" s="15" t="s">
        <v>111</v>
      </c>
      <c r="H6" s="19"/>
    </row>
    <row r="7" customFormat="false" ht="15" hidden="false" customHeight="false" outlineLevel="0" collapsed="false">
      <c r="A7" s="15" t="s">
        <v>55</v>
      </c>
      <c r="B7" s="16" t="n">
        <v>4311</v>
      </c>
      <c r="C7" s="10"/>
      <c r="D7" s="19"/>
      <c r="E7" s="20"/>
      <c r="G7" s="15" t="s">
        <v>112</v>
      </c>
      <c r="H7" s="19"/>
    </row>
    <row r="8" customFormat="false" ht="15" hidden="false" customHeight="false" outlineLevel="0" collapsed="false">
      <c r="A8" s="15" t="s">
        <v>58</v>
      </c>
      <c r="B8" s="16" t="n">
        <v>5114</v>
      </c>
      <c r="C8" s="10"/>
      <c r="D8" s="19"/>
      <c r="E8" s="20"/>
      <c r="G8" s="15" t="s">
        <v>113</v>
      </c>
      <c r="H8" s="19"/>
    </row>
    <row r="9" customFormat="false" ht="15" hidden="false" customHeight="false" outlineLevel="0" collapsed="false">
      <c r="A9" s="15" t="s">
        <v>60</v>
      </c>
      <c r="B9" s="16" t="n">
        <v>3545</v>
      </c>
      <c r="C9" s="10"/>
      <c r="D9" s="19"/>
      <c r="E9" s="20"/>
      <c r="G9" s="15" t="s">
        <v>114</v>
      </c>
      <c r="H9" s="19"/>
    </row>
    <row r="10" customFormat="false" ht="15" hidden="false" customHeight="false" outlineLevel="0" collapsed="false">
      <c r="A10" s="15" t="s">
        <v>62</v>
      </c>
      <c r="B10" s="16" t="n">
        <v>4808</v>
      </c>
      <c r="C10" s="10"/>
      <c r="D10" s="19"/>
      <c r="E10" s="20"/>
      <c r="G10" s="15" t="s">
        <v>115</v>
      </c>
      <c r="H10" s="19"/>
    </row>
    <row r="11" customFormat="false" ht="15" hidden="false" customHeight="false" outlineLevel="0" collapsed="false">
      <c r="A11" s="15" t="s">
        <v>63</v>
      </c>
      <c r="B11" s="16" t="n">
        <v>4860</v>
      </c>
      <c r="C11" s="10"/>
      <c r="D11" s="19"/>
      <c r="E11" s="20"/>
      <c r="G11" s="15" t="s">
        <v>116</v>
      </c>
      <c r="H11" s="19"/>
    </row>
    <row r="12" customFormat="false" ht="15" hidden="false" customHeight="false" outlineLevel="0" collapsed="false">
      <c r="A12" s="15" t="s">
        <v>65</v>
      </c>
      <c r="B12" s="16" t="n">
        <v>4743</v>
      </c>
      <c r="C12" s="10"/>
      <c r="D12" s="19"/>
      <c r="E12" s="20"/>
      <c r="G12" s="15" t="s">
        <v>117</v>
      </c>
      <c r="H12" s="19"/>
    </row>
    <row r="13" customFormat="false" ht="15" hidden="false" customHeight="false" outlineLevel="0" collapsed="false">
      <c r="A13" s="15" t="s">
        <v>66</v>
      </c>
      <c r="B13" s="16" t="n">
        <v>5280</v>
      </c>
      <c r="C13" s="10"/>
      <c r="D13" s="19"/>
      <c r="E13" s="20"/>
    </row>
    <row r="14" customFormat="false" ht="15" hidden="false" customHeight="false" outlineLevel="0" collapsed="false">
      <c r="A14" s="15" t="s">
        <v>67</v>
      </c>
      <c r="B14" s="16" t="n">
        <v>4629</v>
      </c>
      <c r="C14" s="10"/>
      <c r="D14" s="19"/>
      <c r="E14" s="20"/>
      <c r="G14" s="2" t="s">
        <v>118</v>
      </c>
    </row>
    <row r="15" customFormat="false" ht="15" hidden="false" customHeight="false" outlineLevel="0" collapsed="false">
      <c r="A15" s="15" t="s">
        <v>68</v>
      </c>
      <c r="B15" s="16" t="n">
        <v>136656</v>
      </c>
      <c r="C15" s="10"/>
      <c r="D15" s="19"/>
      <c r="E15" s="20"/>
    </row>
    <row r="16" customFormat="false" ht="15" hidden="false" customHeight="false" outlineLevel="0" collapsed="false">
      <c r="A16" s="15" t="s">
        <v>69</v>
      </c>
      <c r="B16" s="16" t="n">
        <v>5344</v>
      </c>
      <c r="C16" s="10"/>
      <c r="D16" s="19"/>
      <c r="E16" s="20"/>
    </row>
    <row r="17" customFormat="false" ht="15" hidden="false" customHeight="false" outlineLevel="0" collapsed="false">
      <c r="A17" s="15" t="s">
        <v>70</v>
      </c>
      <c r="B17" s="16" t="n">
        <v>5307</v>
      </c>
      <c r="C17" s="10"/>
      <c r="D17" s="19"/>
      <c r="E17" s="20"/>
    </row>
    <row r="18" customFormat="false" ht="15" hidden="false" customHeight="false" outlineLevel="0" collapsed="false">
      <c r="A18" s="15" t="s">
        <v>71</v>
      </c>
      <c r="B18" s="16" t="n">
        <v>4930</v>
      </c>
      <c r="C18" s="10"/>
      <c r="D18" s="19"/>
      <c r="E18" s="20"/>
    </row>
    <row r="19" customFormat="false" ht="15" hidden="false" customHeight="false" outlineLevel="0" collapsed="false">
      <c r="A19" s="15" t="s">
        <v>72</v>
      </c>
      <c r="B19" s="16" t="n">
        <v>5170</v>
      </c>
      <c r="C19" s="10"/>
      <c r="D19" s="19"/>
      <c r="E19" s="20"/>
    </row>
    <row r="20" customFormat="false" ht="15" hidden="false" customHeight="false" outlineLevel="0" collapsed="false">
      <c r="A20" s="15" t="s">
        <v>73</v>
      </c>
      <c r="B20" s="16" t="n">
        <v>6227</v>
      </c>
      <c r="C20" s="10"/>
      <c r="D20" s="19"/>
      <c r="E20" s="20"/>
    </row>
    <row r="21" customFormat="false" ht="15" hidden="false" customHeight="false" outlineLevel="0" collapsed="false">
      <c r="A21" s="15" t="s">
        <v>75</v>
      </c>
      <c r="B21" s="16" t="n">
        <v>5115</v>
      </c>
      <c r="C21" s="10"/>
      <c r="D21" s="19"/>
      <c r="E21" s="20"/>
    </row>
    <row r="22" customFormat="false" ht="15" hidden="false" customHeight="false" outlineLevel="0" collapsed="false">
      <c r="A22" s="15" t="s">
        <v>76</v>
      </c>
      <c r="B22" s="16" t="n">
        <v>5622</v>
      </c>
      <c r="C22" s="10"/>
      <c r="D22" s="19"/>
      <c r="E22" s="20"/>
    </row>
    <row r="23" customFormat="false" ht="15" hidden="false" customHeight="false" outlineLevel="0" collapsed="false">
      <c r="A23" s="15" t="s">
        <v>77</v>
      </c>
      <c r="B23" s="16" t="n">
        <v>5530</v>
      </c>
      <c r="C23" s="10"/>
      <c r="D23" s="19"/>
      <c r="E23" s="20"/>
    </row>
    <row r="24" customFormat="false" ht="15" hidden="false" customHeight="false" outlineLevel="0" collapsed="false">
      <c r="A24" s="15" t="s">
        <v>78</v>
      </c>
      <c r="B24" s="16" t="n">
        <v>5980</v>
      </c>
      <c r="C24" s="10"/>
      <c r="D24" s="19"/>
      <c r="E24" s="20"/>
    </row>
    <row r="25" customFormat="false" ht="15" hidden="false" customHeight="false" outlineLevel="0" collapsed="false">
      <c r="A25" s="15" t="s">
        <v>79</v>
      </c>
      <c r="B25" s="16" t="n">
        <v>5955</v>
      </c>
      <c r="C25" s="10"/>
      <c r="D25" s="19"/>
      <c r="E25" s="20"/>
    </row>
    <row r="26" customFormat="false" ht="15" hidden="false" customHeight="false" outlineLevel="0" collapsed="false">
      <c r="A26" s="15" t="s">
        <v>80</v>
      </c>
      <c r="B26" s="16" t="n">
        <v>7520</v>
      </c>
      <c r="C26" s="10"/>
      <c r="D26" s="19"/>
      <c r="E26" s="20"/>
    </row>
    <row r="27" customFormat="false" ht="15" hidden="false" customHeight="false" outlineLevel="0" collapsed="false">
      <c r="A27" s="15" t="s">
        <v>81</v>
      </c>
      <c r="B27" s="16" t="n">
        <v>5999</v>
      </c>
      <c r="C27" s="10"/>
      <c r="D27" s="19"/>
      <c r="E27" s="20"/>
    </row>
    <row r="28" customFormat="false" ht="15" hidden="false" customHeight="false" outlineLevel="0" collapsed="false">
      <c r="A28" s="15" t="s">
        <v>82</v>
      </c>
      <c r="B28" s="16" t="n">
        <v>7101</v>
      </c>
      <c r="C28" s="10"/>
      <c r="D28" s="19"/>
      <c r="E28" s="20"/>
    </row>
    <row r="29" customFormat="false" ht="15" hidden="false" customHeight="false" outlineLevel="0" collapsed="false">
      <c r="A29" s="15" t="s">
        <v>83</v>
      </c>
      <c r="B29" s="16" t="n">
        <v>7595</v>
      </c>
      <c r="C29" s="10"/>
      <c r="D29" s="19"/>
      <c r="E29" s="20"/>
    </row>
    <row r="30" customFormat="false" ht="15" hidden="false" customHeight="false" outlineLevel="0" collapsed="false">
      <c r="A30" s="15" t="s">
        <v>84</v>
      </c>
      <c r="B30" s="16" t="n">
        <v>6170</v>
      </c>
      <c r="C30" s="10"/>
      <c r="D30" s="19"/>
      <c r="E30" s="20"/>
    </row>
    <row r="31" customFormat="false" ht="15" hidden="false" customHeight="false" outlineLevel="0" collapsed="false">
      <c r="A31" s="15" t="s">
        <v>85</v>
      </c>
      <c r="B31" s="16" t="n">
        <v>7823</v>
      </c>
      <c r="C31" s="10"/>
      <c r="D31" s="19"/>
      <c r="E31" s="20"/>
    </row>
    <row r="32" customFormat="false" ht="15" hidden="false" customHeight="false" outlineLevel="0" collapsed="false">
      <c r="A32" s="15" t="s">
        <v>86</v>
      </c>
      <c r="B32" s="16" t="n">
        <v>8356</v>
      </c>
      <c r="C32" s="10"/>
      <c r="D32" s="19"/>
      <c r="E32" s="20"/>
    </row>
    <row r="33" customFormat="false" ht="15" hidden="false" customHeight="false" outlineLevel="0" collapsed="false">
      <c r="A33" s="15" t="s">
        <v>87</v>
      </c>
      <c r="B33" s="16" t="n">
        <v>7471</v>
      </c>
      <c r="C33" s="10"/>
      <c r="D33" s="19"/>
      <c r="E33" s="20"/>
    </row>
    <row r="34" customFormat="false" ht="15" hidden="false" customHeight="false" outlineLevel="0" collapsed="false">
      <c r="A34" s="15" t="s">
        <v>88</v>
      </c>
      <c r="B34" s="16" t="n">
        <v>6811</v>
      </c>
      <c r="C34" s="10"/>
      <c r="D34" s="19"/>
      <c r="E34" s="20"/>
    </row>
    <row r="35" customFormat="false" ht="15" hidden="false" customHeight="false" outlineLevel="0" collapsed="false">
      <c r="A35" s="15" t="s">
        <v>89</v>
      </c>
      <c r="B35" s="16" t="n">
        <v>6687</v>
      </c>
      <c r="C35" s="10"/>
      <c r="D35" s="19"/>
      <c r="E35" s="20"/>
    </row>
    <row r="36" customFormat="false" ht="15" hidden="false" customHeight="false" outlineLevel="0" collapsed="false">
      <c r="A36" s="15" t="s">
        <v>90</v>
      </c>
      <c r="B36" s="16" t="n">
        <v>6896</v>
      </c>
      <c r="C36" s="10"/>
      <c r="D36" s="19"/>
      <c r="E36" s="20"/>
    </row>
    <row r="37" customFormat="false" ht="15" hidden="false" customHeight="false" outlineLevel="0" collapsed="false">
      <c r="A37" s="15" t="s">
        <v>91</v>
      </c>
      <c r="B37" s="16" t="n">
        <v>7737</v>
      </c>
      <c r="C37" s="10"/>
      <c r="D37" s="19"/>
      <c r="E37" s="20"/>
    </row>
    <row r="38" customFormat="false" ht="15" hidden="false" customHeight="false" outlineLevel="0" collapsed="false">
      <c r="A38" s="15" t="s">
        <v>92</v>
      </c>
      <c r="B38" s="16" t="n">
        <v>8871</v>
      </c>
      <c r="C38" s="10"/>
      <c r="D38" s="19"/>
      <c r="E38" s="20"/>
    </row>
    <row r="39" customFormat="false" ht="15" hidden="false" customHeight="false" outlineLevel="0" collapsed="false">
      <c r="A39" s="15" t="s">
        <v>93</v>
      </c>
      <c r="B39" s="16" t="n">
        <v>8539</v>
      </c>
      <c r="C39" s="10"/>
      <c r="D39" s="19"/>
      <c r="E39" s="20"/>
    </row>
    <row r="40" customFormat="false" ht="15" hidden="false" customHeight="false" outlineLevel="0" collapsed="false">
      <c r="A40" s="15" t="s">
        <v>94</v>
      </c>
      <c r="B40" s="16" t="n">
        <v>7611</v>
      </c>
      <c r="C40" s="10"/>
      <c r="D40" s="19"/>
      <c r="E40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30" hidden="false" customHeight="true" outlineLevel="0" collapsed="false">
      <c r="A4" s="6" t="s">
        <v>43</v>
      </c>
      <c r="B4" s="6" t="s">
        <v>121</v>
      </c>
      <c r="C4" s="6" t="s">
        <v>122</v>
      </c>
      <c r="D4" s="6" t="s">
        <v>123</v>
      </c>
      <c r="F4" s="6" t="s">
        <v>43</v>
      </c>
      <c r="G4" s="6" t="s">
        <v>124</v>
      </c>
      <c r="H4" s="6" t="s">
        <v>125</v>
      </c>
    </row>
    <row r="5" customFormat="false" ht="15" hidden="false" customHeight="false" outlineLevel="0" collapsed="false">
      <c r="A5" s="15" t="s">
        <v>69</v>
      </c>
      <c r="B5" s="16" t="n">
        <v>3139</v>
      </c>
      <c r="C5" s="16"/>
      <c r="D5" s="19"/>
      <c r="F5" s="15" t="s">
        <v>77</v>
      </c>
      <c r="G5" s="16" t="n">
        <v>3947</v>
      </c>
      <c r="H5" s="16" t="n">
        <f aca="false">G5</f>
        <v>3947</v>
      </c>
    </row>
    <row r="6" customFormat="false" ht="15" hidden="false" customHeight="false" outlineLevel="0" collapsed="false">
      <c r="A6" s="15" t="s">
        <v>70</v>
      </c>
      <c r="B6" s="16" t="n">
        <v>2884</v>
      </c>
      <c r="C6" s="16"/>
      <c r="D6" s="19"/>
      <c r="F6" s="15" t="s">
        <v>78</v>
      </c>
      <c r="G6" s="16" t="n">
        <v>4166</v>
      </c>
      <c r="H6" s="16" t="n">
        <f aca="false">G6</f>
        <v>4166</v>
      </c>
    </row>
    <row r="7" customFormat="false" ht="15" hidden="false" customHeight="false" outlineLevel="0" collapsed="false">
      <c r="A7" s="15" t="s">
        <v>71</v>
      </c>
      <c r="B7" s="16" t="n">
        <v>3217</v>
      </c>
      <c r="C7" s="16"/>
      <c r="D7" s="19"/>
      <c r="F7" s="15" t="s">
        <v>79</v>
      </c>
      <c r="G7" s="16" t="n">
        <v>3927</v>
      </c>
      <c r="H7" s="16" t="n">
        <f aca="false">G7</f>
        <v>3927</v>
      </c>
    </row>
    <row r="8" customFormat="false" ht="15" hidden="false" customHeight="false" outlineLevel="0" collapsed="false">
      <c r="A8" s="15" t="s">
        <v>72</v>
      </c>
      <c r="B8" s="16" t="n">
        <v>3768</v>
      </c>
      <c r="C8" s="16"/>
      <c r="D8" s="19"/>
      <c r="F8" s="15" t="s">
        <v>80</v>
      </c>
      <c r="G8" s="16"/>
      <c r="H8" s="19"/>
    </row>
    <row r="9" customFormat="false" ht="15" hidden="false" customHeight="false" outlineLevel="0" collapsed="false">
      <c r="A9" s="15" t="s">
        <v>73</v>
      </c>
      <c r="B9" s="16" t="n">
        <v>3651</v>
      </c>
      <c r="C9" s="16"/>
      <c r="D9" s="19"/>
      <c r="F9" s="15" t="s">
        <v>81</v>
      </c>
      <c r="G9" s="16" t="n">
        <v>3642</v>
      </c>
      <c r="H9" s="16" t="n">
        <f aca="false">G9</f>
        <v>3642</v>
      </c>
    </row>
    <row r="10" customFormat="false" ht="15" hidden="false" customHeight="false" outlineLevel="0" collapsed="false">
      <c r="A10" s="15" t="s">
        <v>75</v>
      </c>
      <c r="B10" s="16" t="n">
        <v>1181</v>
      </c>
      <c r="C10" s="16" t="n">
        <v>1443</v>
      </c>
      <c r="D10" s="19"/>
      <c r="F10" s="15" t="s">
        <v>82</v>
      </c>
      <c r="G10" s="16" t="n">
        <v>3977</v>
      </c>
      <c r="H10" s="16" t="n">
        <f aca="false">G10</f>
        <v>3977</v>
      </c>
    </row>
    <row r="11" customFormat="false" ht="15" hidden="false" customHeight="false" outlineLevel="0" collapsed="false">
      <c r="A11" s="15" t="s">
        <v>76</v>
      </c>
      <c r="B11" s="16"/>
      <c r="C11" s="16" t="n">
        <v>3162</v>
      </c>
      <c r="D11" s="19"/>
      <c r="F11" s="15" t="s">
        <v>83</v>
      </c>
      <c r="G11" s="16" t="n">
        <v>5412</v>
      </c>
      <c r="H11" s="16" t="n">
        <f aca="false">G11</f>
        <v>5412</v>
      </c>
    </row>
    <row r="12" customFormat="false" ht="15" hidden="false" customHeight="false" outlineLevel="0" collapsed="false">
      <c r="A12" s="15" t="s">
        <v>77</v>
      </c>
      <c r="B12" s="16"/>
      <c r="C12" s="16" t="n">
        <v>3156</v>
      </c>
      <c r="D12" s="19"/>
    </row>
    <row r="13" customFormat="false" ht="15" hidden="false" customHeight="false" outlineLevel="0" collapsed="false">
      <c r="A13" s="15" t="s">
        <v>78</v>
      </c>
      <c r="B13" s="16"/>
      <c r="C13" s="16" t="n">
        <v>2982</v>
      </c>
      <c r="D13" s="19"/>
      <c r="F13" s="2" t="s">
        <v>126</v>
      </c>
    </row>
    <row r="14" customFormat="false" ht="15" hidden="false" customHeight="false" outlineLevel="0" collapsed="false">
      <c r="A14" s="15" t="s">
        <v>79</v>
      </c>
      <c r="B14" s="16"/>
      <c r="C14" s="16" t="n">
        <v>3014</v>
      </c>
      <c r="D14" s="19"/>
    </row>
    <row r="16" customFormat="false" ht="15" hidden="false" customHeight="false" outlineLevel="0" collapsed="false">
      <c r="A16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5" min="4" style="0" width="12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30" hidden="false" customHeight="true" outlineLevel="0" collapsed="false">
      <c r="A4" s="6" t="s">
        <v>130</v>
      </c>
      <c r="B4" s="6" t="s">
        <v>131</v>
      </c>
      <c r="C4" s="6" t="s">
        <v>43</v>
      </c>
      <c r="D4" s="6" t="s">
        <v>132</v>
      </c>
      <c r="E4" s="6" t="s">
        <v>133</v>
      </c>
      <c r="F4" s="6" t="s">
        <v>134</v>
      </c>
      <c r="G4" s="6" t="s">
        <v>135</v>
      </c>
      <c r="H4" s="6" t="s">
        <v>136</v>
      </c>
    </row>
    <row r="5" customFormat="false" ht="15" hidden="false" customHeight="false" outlineLevel="0" collapsed="false">
      <c r="A5" s="15" t="s">
        <v>137</v>
      </c>
      <c r="B5" s="15" t="s">
        <v>138</v>
      </c>
      <c r="C5" s="15" t="s">
        <v>68</v>
      </c>
      <c r="D5" s="16" t="n">
        <v>136656</v>
      </c>
      <c r="E5" s="16" t="n">
        <v>5694</v>
      </c>
      <c r="F5" s="15" t="s">
        <v>139</v>
      </c>
      <c r="G5" s="15" t="s">
        <v>140</v>
      </c>
      <c r="H5" s="15" t="s">
        <v>110</v>
      </c>
    </row>
    <row r="6" customFormat="false" ht="15" hidden="false" customHeight="false" outlineLevel="0" collapsed="false">
      <c r="A6" s="22"/>
      <c r="B6" s="22"/>
      <c r="C6" s="22"/>
      <c r="D6" s="22"/>
      <c r="E6" s="22"/>
      <c r="F6" s="22"/>
      <c r="G6" s="22"/>
      <c r="H6" s="22"/>
    </row>
    <row r="7" customFormat="false" ht="15" hidden="false" customHeight="false" outlineLevel="0" collapsed="false">
      <c r="A7" s="22"/>
      <c r="B7" s="22"/>
      <c r="C7" s="22"/>
      <c r="D7" s="22"/>
      <c r="E7" s="22"/>
      <c r="F7" s="22"/>
      <c r="G7" s="22"/>
      <c r="H7" s="22"/>
    </row>
    <row r="8" customFormat="false" ht="15" hidden="false" customHeight="false" outlineLevel="0" collapsed="false">
      <c r="A8" s="22"/>
      <c r="B8" s="22"/>
      <c r="C8" s="22"/>
      <c r="D8" s="22"/>
      <c r="E8" s="22"/>
      <c r="F8" s="22"/>
      <c r="G8" s="22"/>
      <c r="H8" s="22"/>
    </row>
    <row r="9" customFormat="false" ht="15" hidden="false" customHeight="false" outlineLevel="0" collapsed="false">
      <c r="A9" s="22"/>
      <c r="B9" s="22"/>
      <c r="C9" s="22"/>
      <c r="D9" s="22"/>
      <c r="E9" s="22"/>
      <c r="F9" s="22"/>
      <c r="G9" s="22"/>
      <c r="H9" s="22"/>
    </row>
    <row r="10" customFormat="false" ht="15" hidden="false" customHeight="false" outlineLevel="0" collapsed="false">
      <c r="A10" s="22"/>
      <c r="B10" s="22"/>
      <c r="C10" s="22"/>
      <c r="D10" s="22"/>
      <c r="E10" s="22"/>
      <c r="F10" s="22"/>
      <c r="G10" s="22"/>
      <c r="H10" s="22"/>
    </row>
    <row r="11" customFormat="false" ht="15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  <c r="G12" s="23"/>
      <c r="H12" s="23"/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3"/>
      <c r="H13" s="23"/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  <c r="G14" s="23"/>
      <c r="H14" s="23"/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  <c r="G15" s="23"/>
      <c r="H15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4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4" customFormat="false" ht="30" hidden="false" customHeight="true" outlineLevel="0" collapsed="false">
      <c r="A4" s="6" t="s">
        <v>43</v>
      </c>
      <c r="B4" s="6" t="s">
        <v>143</v>
      </c>
      <c r="C4" s="6" t="s">
        <v>144</v>
      </c>
      <c r="D4" s="6" t="s">
        <v>145</v>
      </c>
      <c r="E4" s="6" t="s">
        <v>36</v>
      </c>
      <c r="G4" s="6" t="s">
        <v>43</v>
      </c>
      <c r="H4" s="6" t="s">
        <v>44</v>
      </c>
      <c r="I4" s="6" t="s">
        <v>146</v>
      </c>
      <c r="J4" s="6" t="s">
        <v>147</v>
      </c>
    </row>
    <row r="5" customFormat="false" ht="15" hidden="false" customHeight="false" outlineLevel="0" collapsed="false">
      <c r="A5" s="15" t="s">
        <v>62</v>
      </c>
      <c r="B5" s="16" t="n">
        <v>10625</v>
      </c>
      <c r="C5" s="16" t="n">
        <f aca="false">B5</f>
        <v>10625</v>
      </c>
      <c r="D5" s="19"/>
      <c r="E5" s="20"/>
      <c r="G5" s="15" t="s">
        <v>73</v>
      </c>
      <c r="H5" s="16" t="n">
        <v>3435</v>
      </c>
      <c r="I5" s="16" t="n">
        <v>0</v>
      </c>
      <c r="J5" s="19"/>
    </row>
    <row r="6" customFormat="false" ht="15" hidden="false" customHeight="false" outlineLevel="0" collapsed="false">
      <c r="A6" s="15" t="s">
        <v>63</v>
      </c>
      <c r="B6" s="16" t="n">
        <v>8777</v>
      </c>
      <c r="C6" s="16" t="n">
        <f aca="false">B6</f>
        <v>8777</v>
      </c>
      <c r="D6" s="19"/>
      <c r="E6" s="20"/>
      <c r="G6" s="15" t="s">
        <v>75</v>
      </c>
      <c r="H6" s="16" t="n">
        <v>80</v>
      </c>
      <c r="I6" s="16" t="n">
        <v>0</v>
      </c>
      <c r="J6" s="19"/>
    </row>
    <row r="7" customFormat="false" ht="15" hidden="false" customHeight="false" outlineLevel="0" collapsed="false">
      <c r="A7" s="15" t="s">
        <v>65</v>
      </c>
      <c r="B7" s="16" t="n">
        <v>9322</v>
      </c>
      <c r="C7" s="16" t="n">
        <f aca="false">B7</f>
        <v>9322</v>
      </c>
      <c r="D7" s="19"/>
      <c r="E7" s="20"/>
      <c r="G7" s="15" t="s">
        <v>76</v>
      </c>
      <c r="H7" s="16" t="n">
        <v>52</v>
      </c>
      <c r="I7" s="16" t="n">
        <v>1450</v>
      </c>
      <c r="J7" s="19"/>
    </row>
    <row r="8" customFormat="false" ht="15" hidden="false" customHeight="false" outlineLevel="0" collapsed="false">
      <c r="A8" s="15" t="s">
        <v>66</v>
      </c>
      <c r="B8" s="16" t="n">
        <v>17037</v>
      </c>
      <c r="C8" s="19"/>
      <c r="D8" s="19"/>
      <c r="E8" s="20" t="s">
        <v>148</v>
      </c>
      <c r="G8" s="15" t="s">
        <v>77</v>
      </c>
      <c r="H8" s="16" t="n">
        <v>35</v>
      </c>
      <c r="I8" s="16" t="n">
        <v>0</v>
      </c>
      <c r="J8" s="19"/>
    </row>
    <row r="9" customFormat="false" ht="15" hidden="false" customHeight="false" outlineLevel="0" collapsed="false">
      <c r="A9" s="15" t="s">
        <v>67</v>
      </c>
      <c r="B9" s="16" t="n">
        <v>7025</v>
      </c>
      <c r="C9" s="19"/>
      <c r="D9" s="19"/>
      <c r="E9" s="20" t="s">
        <v>149</v>
      </c>
    </row>
    <row r="10" customFormat="false" ht="15" hidden="false" customHeight="false" outlineLevel="0" collapsed="false">
      <c r="A10" s="15" t="s">
        <v>68</v>
      </c>
      <c r="B10" s="16" t="n">
        <v>8800</v>
      </c>
      <c r="C10" s="16" t="n">
        <f aca="false">B10</f>
        <v>8800</v>
      </c>
      <c r="D10" s="19"/>
      <c r="E10" s="20"/>
      <c r="G10" s="2" t="s">
        <v>150</v>
      </c>
    </row>
    <row r="11" customFormat="false" ht="15" hidden="false" customHeight="false" outlineLevel="0" collapsed="false">
      <c r="A11" s="15" t="s">
        <v>69</v>
      </c>
      <c r="B11" s="16" t="n">
        <v>8120</v>
      </c>
      <c r="C11" s="16" t="n">
        <f aca="false">B11</f>
        <v>8120</v>
      </c>
      <c r="D11" s="19"/>
      <c r="E11" s="20"/>
      <c r="G11" s="2" t="s">
        <v>151</v>
      </c>
    </row>
    <row r="12" customFormat="false" ht="15" hidden="false" customHeight="false" outlineLevel="0" collapsed="false">
      <c r="A12" s="15" t="s">
        <v>70</v>
      </c>
      <c r="B12" s="16" t="n">
        <v>8983</v>
      </c>
      <c r="C12" s="16" t="n">
        <f aca="false">B12</f>
        <v>8983</v>
      </c>
      <c r="D12" s="19"/>
      <c r="E12" s="20"/>
    </row>
    <row r="14" customFormat="false" ht="15" hidden="false" customHeight="false" outlineLevel="0" collapsed="false">
      <c r="A14" s="2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2026-10-24T23:10:03Z</dcterms:created>
  <dc:creator>openpyxl</dc:creator>
  <dc:description/>
  <dc:language>en-US</dc:language>
  <cp:lastModifiedBy/>
  <dcterms:modified xsi:type="dcterms:W3CDTF">2026-10-25T00:10:57Z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